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8C6C15F-D8F0-41C9-864F-AB61250B457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ctivités" sheetId="1" r:id="rId1"/>
    <sheet name="Obstacles" sheetId="2" r:id="rId2"/>
    <sheet name="Risques" sheetId="3" r:id="rId3"/>
  </sheets>
  <externalReferences>
    <externalReference r:id="rId4"/>
  </externalReferences>
  <definedNames>
    <definedName name="tarif">Activités!$B$47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3" i="1" l="1"/>
  <c r="AG9" i="1"/>
  <c r="N7" i="1"/>
  <c r="U7" i="1"/>
  <c r="V7" i="1" s="1"/>
  <c r="N8" i="1"/>
  <c r="U8" i="1"/>
  <c r="V8" i="1"/>
  <c r="W8" i="1"/>
  <c r="N9" i="1"/>
  <c r="U9" i="1"/>
  <c r="N10" i="1"/>
  <c r="U10" i="1"/>
  <c r="V10" i="1" s="1"/>
  <c r="B6" i="1"/>
  <c r="V9" i="1" l="1"/>
  <c r="W9" i="1" s="1"/>
  <c r="W10" i="1"/>
  <c r="W7" i="1"/>
  <c r="C6" i="1"/>
  <c r="B11" i="1"/>
  <c r="AH15" i="1"/>
  <c r="AH17" i="1"/>
  <c r="U20" i="1" l="1"/>
  <c r="U21" i="1"/>
  <c r="U22" i="1"/>
  <c r="U23" i="1"/>
  <c r="Z23" i="1" s="1"/>
  <c r="U24" i="1"/>
  <c r="U25" i="1"/>
  <c r="U26" i="1"/>
  <c r="Z26" i="1" s="1"/>
  <c r="U27" i="1"/>
  <c r="U28" i="1"/>
  <c r="U29" i="1"/>
  <c r="U30" i="1"/>
  <c r="U31" i="1"/>
  <c r="Z31" i="1" s="1"/>
  <c r="U32" i="1"/>
  <c r="U33" i="1"/>
  <c r="U34" i="1"/>
  <c r="Z34" i="1" s="1"/>
  <c r="U35" i="1"/>
  <c r="U36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J20" i="1"/>
  <c r="J21" i="1"/>
  <c r="V21" i="1" s="1"/>
  <c r="J22" i="1"/>
  <c r="J23" i="1"/>
  <c r="J24" i="1"/>
  <c r="V24" i="1" s="1"/>
  <c r="J25" i="1"/>
  <c r="J26" i="1"/>
  <c r="J27" i="1"/>
  <c r="J28" i="1"/>
  <c r="J29" i="1"/>
  <c r="V29" i="1" s="1"/>
  <c r="J30" i="1"/>
  <c r="K30" i="1" s="1"/>
  <c r="J31" i="1"/>
  <c r="J32" i="1"/>
  <c r="V32" i="1" s="1"/>
  <c r="J33" i="1"/>
  <c r="J34" i="1"/>
  <c r="J35" i="1"/>
  <c r="J36" i="1"/>
  <c r="U42" i="1"/>
  <c r="Z42" i="1" s="1"/>
  <c r="U41" i="1"/>
  <c r="U40" i="1"/>
  <c r="Z40" i="1" s="1"/>
  <c r="U39" i="1"/>
  <c r="Z39" i="1" s="1"/>
  <c r="J8" i="1"/>
  <c r="M37" i="1"/>
  <c r="U19" i="1"/>
  <c r="Z19" i="1" s="1"/>
  <c r="N42" i="1"/>
  <c r="N41" i="1"/>
  <c r="N40" i="1"/>
  <c r="N39" i="1"/>
  <c r="O37" i="1"/>
  <c r="O45" i="1" s="1"/>
  <c r="H6" i="1"/>
  <c r="H11" i="1" s="1"/>
  <c r="M43" i="1"/>
  <c r="M17" i="1"/>
  <c r="T43" i="1"/>
  <c r="S43" i="1"/>
  <c r="R43" i="1"/>
  <c r="Q43" i="1"/>
  <c r="P43" i="1"/>
  <c r="J40" i="1"/>
  <c r="K21" i="1"/>
  <c r="K22" i="1"/>
  <c r="N19" i="1"/>
  <c r="N16" i="1"/>
  <c r="N15" i="1"/>
  <c r="N14" i="1"/>
  <c r="N13" i="1"/>
  <c r="D37" i="1"/>
  <c r="D45" i="1" s="1"/>
  <c r="C43" i="1"/>
  <c r="B43" i="1"/>
  <c r="F43" i="1"/>
  <c r="G43" i="1"/>
  <c r="H43" i="1"/>
  <c r="I43" i="1"/>
  <c r="E43" i="1"/>
  <c r="H37" i="1"/>
  <c r="J19" i="1"/>
  <c r="S37" i="1"/>
  <c r="M11" i="1"/>
  <c r="C11" i="1"/>
  <c r="C17" i="1"/>
  <c r="B17" i="1"/>
  <c r="S17" i="1"/>
  <c r="F17" i="1"/>
  <c r="Q6" i="1"/>
  <c r="Q11" i="1" s="1"/>
  <c r="R6" i="1"/>
  <c r="R11" i="1" s="1"/>
  <c r="S6" i="1"/>
  <c r="S11" i="1" s="1"/>
  <c r="T6" i="1"/>
  <c r="T11" i="1" s="1"/>
  <c r="F6" i="1"/>
  <c r="F11" i="1" s="1"/>
  <c r="G6" i="1"/>
  <c r="G11" i="1" s="1"/>
  <c r="I6" i="1"/>
  <c r="I11" i="1" s="1"/>
  <c r="J42" i="1"/>
  <c r="J39" i="1"/>
  <c r="T37" i="1"/>
  <c r="R37" i="1"/>
  <c r="Q37" i="1"/>
  <c r="P37" i="1"/>
  <c r="T17" i="1"/>
  <c r="R17" i="1"/>
  <c r="Q17" i="1"/>
  <c r="P17" i="1"/>
  <c r="I17" i="1"/>
  <c r="H17" i="1"/>
  <c r="G17" i="1"/>
  <c r="E17" i="1"/>
  <c r="U16" i="1"/>
  <c r="Z16" i="1" s="1"/>
  <c r="J16" i="1"/>
  <c r="U15" i="1"/>
  <c r="Z15" i="1" s="1"/>
  <c r="J15" i="1"/>
  <c r="U14" i="1"/>
  <c r="Z14" i="1" s="1"/>
  <c r="J14" i="1"/>
  <c r="U13" i="1"/>
  <c r="Z13" i="1" s="1"/>
  <c r="J13" i="1"/>
  <c r="J10" i="1"/>
  <c r="J9" i="1"/>
  <c r="Z7" i="1"/>
  <c r="J7" i="1"/>
  <c r="P6" i="1"/>
  <c r="P11" i="1" s="1"/>
  <c r="E6" i="1"/>
  <c r="E11" i="1" s="1"/>
  <c r="K36" i="1" l="1"/>
  <c r="V36" i="1"/>
  <c r="W36" i="1" s="1"/>
  <c r="V28" i="1"/>
  <c r="W28" i="1" s="1"/>
  <c r="V20" i="1"/>
  <c r="W20" i="1" s="1"/>
  <c r="Z30" i="1"/>
  <c r="Z22" i="1"/>
  <c r="K39" i="1"/>
  <c r="AB39" i="1" s="1"/>
  <c r="V39" i="1"/>
  <c r="K35" i="1"/>
  <c r="V35" i="1"/>
  <c r="W35" i="1" s="1"/>
  <c r="K27" i="1"/>
  <c r="V27" i="1"/>
  <c r="W27" i="1" s="1"/>
  <c r="W29" i="1"/>
  <c r="Z29" i="1"/>
  <c r="W21" i="1"/>
  <c r="Z21" i="1"/>
  <c r="Z20" i="1"/>
  <c r="K40" i="1"/>
  <c r="AB40" i="1" s="1"/>
  <c r="V40" i="1"/>
  <c r="W40" i="1" s="1"/>
  <c r="Z27" i="1"/>
  <c r="W34" i="1"/>
  <c r="U43" i="1"/>
  <c r="Z41" i="1"/>
  <c r="K29" i="1"/>
  <c r="K42" i="1"/>
  <c r="AB42" i="1" s="1"/>
  <c r="V42" i="1"/>
  <c r="W42" i="1" s="1"/>
  <c r="K34" i="1"/>
  <c r="V34" i="1"/>
  <c r="K26" i="1"/>
  <c r="V26" i="1"/>
  <c r="W26" i="1" s="1"/>
  <c r="Z36" i="1"/>
  <c r="Z28" i="1"/>
  <c r="K33" i="1"/>
  <c r="V33" i="1"/>
  <c r="W33" i="1" s="1"/>
  <c r="K25" i="1"/>
  <c r="V25" i="1"/>
  <c r="W25" i="1" s="1"/>
  <c r="Z35" i="1"/>
  <c r="K8" i="1"/>
  <c r="Z25" i="1"/>
  <c r="K19" i="1"/>
  <c r="V19" i="1"/>
  <c r="W19" i="1" s="1"/>
  <c r="K31" i="1"/>
  <c r="AB31" i="1" s="1"/>
  <c r="V31" i="1"/>
  <c r="W31" i="1" s="1"/>
  <c r="K23" i="1"/>
  <c r="AB23" i="1" s="1"/>
  <c r="V23" i="1"/>
  <c r="Z33" i="1"/>
  <c r="V30" i="1"/>
  <c r="W30" i="1" s="1"/>
  <c r="V22" i="1"/>
  <c r="W22" i="1" s="1"/>
  <c r="W32" i="1"/>
  <c r="Z32" i="1"/>
  <c r="W24" i="1"/>
  <c r="Z24" i="1"/>
  <c r="W23" i="1"/>
  <c r="U37" i="1"/>
  <c r="AF11" i="1" s="1"/>
  <c r="K9" i="1"/>
  <c r="AA9" i="1"/>
  <c r="K10" i="1"/>
  <c r="AA10" i="1"/>
  <c r="K16" i="1"/>
  <c r="V16" i="1"/>
  <c r="W16" i="1" s="1"/>
  <c r="K15" i="1"/>
  <c r="V15" i="1"/>
  <c r="W15" i="1" s="1"/>
  <c r="K13" i="1"/>
  <c r="V13" i="1"/>
  <c r="K7" i="1"/>
  <c r="K14" i="1"/>
  <c r="V14" i="1"/>
  <c r="W14" i="1" s="1"/>
  <c r="Z37" i="1"/>
  <c r="AG11" i="1" s="1"/>
  <c r="K32" i="1"/>
  <c r="K28" i="1"/>
  <c r="I37" i="1"/>
  <c r="I45" i="1" s="1"/>
  <c r="F37" i="1"/>
  <c r="F45" i="1" s="1"/>
  <c r="E37" i="1"/>
  <c r="E45" i="1" s="1"/>
  <c r="G37" i="1"/>
  <c r="G45" i="1" s="1"/>
  <c r="K20" i="1"/>
  <c r="AB20" i="1" s="1"/>
  <c r="K24" i="1"/>
  <c r="B37" i="1"/>
  <c r="B45" i="1" s="1"/>
  <c r="M45" i="1"/>
  <c r="H45" i="1"/>
  <c r="C37" i="1"/>
  <c r="C45" i="1" s="1"/>
  <c r="Q45" i="1"/>
  <c r="N43" i="1"/>
  <c r="P45" i="1"/>
  <c r="N17" i="1"/>
  <c r="T45" i="1"/>
  <c r="S45" i="1"/>
  <c r="R45" i="1"/>
  <c r="N6" i="1"/>
  <c r="N11" i="1"/>
  <c r="J6" i="1"/>
  <c r="K6" i="1" s="1"/>
  <c r="J41" i="1"/>
  <c r="J17" i="1"/>
  <c r="K17" i="1" s="1"/>
  <c r="U17" i="1"/>
  <c r="U6" i="1"/>
  <c r="Z6" i="1" s="1"/>
  <c r="J43" i="1"/>
  <c r="K43" i="1" s="1"/>
  <c r="AB36" i="1" l="1"/>
  <c r="V6" i="1"/>
  <c r="V11" i="1" s="1"/>
  <c r="AB9" i="1"/>
  <c r="AB10" i="1"/>
  <c r="AB32" i="1"/>
  <c r="AB24" i="1"/>
  <c r="AB16" i="1"/>
  <c r="Y16" i="1"/>
  <c r="AA16" i="1"/>
  <c r="Y8" i="1"/>
  <c r="AA8" i="1"/>
  <c r="AB8" i="1" s="1"/>
  <c r="Z8" i="1"/>
  <c r="AB30" i="1"/>
  <c r="Y30" i="1"/>
  <c r="AA30" i="1"/>
  <c r="AB27" i="1"/>
  <c r="Y27" i="1"/>
  <c r="AA27" i="1"/>
  <c r="AA31" i="1"/>
  <c r="Y31" i="1"/>
  <c r="Y36" i="1"/>
  <c r="AA36" i="1"/>
  <c r="AB25" i="1"/>
  <c r="AA25" i="1"/>
  <c r="Y25" i="1"/>
  <c r="AA42" i="1"/>
  <c r="Y42" i="1"/>
  <c r="AA32" i="1"/>
  <c r="Y32" i="1"/>
  <c r="Y28" i="1"/>
  <c r="AA28" i="1"/>
  <c r="Y40" i="1"/>
  <c r="AA40" i="1"/>
  <c r="AB29" i="1"/>
  <c r="AA29" i="1"/>
  <c r="Y29" i="1"/>
  <c r="V37" i="1"/>
  <c r="AB35" i="1"/>
  <c r="Y35" i="1"/>
  <c r="AA35" i="1"/>
  <c r="K41" i="1"/>
  <c r="AB41" i="1" s="1"/>
  <c r="V41" i="1"/>
  <c r="W41" i="1" s="1"/>
  <c r="AA19" i="1"/>
  <c r="Y19" i="1"/>
  <c r="Y37" i="1" s="1"/>
  <c r="AB22" i="1"/>
  <c r="Y22" i="1"/>
  <c r="AA22" i="1"/>
  <c r="V17" i="1"/>
  <c r="AA14" i="1"/>
  <c r="Y14" i="1"/>
  <c r="AB28" i="1"/>
  <c r="AB26" i="1"/>
  <c r="AA26" i="1"/>
  <c r="Y26" i="1"/>
  <c r="Z43" i="1"/>
  <c r="AG12" i="1" s="1"/>
  <c r="AF12" i="1"/>
  <c r="Y20" i="1"/>
  <c r="AA20" i="1"/>
  <c r="AB34" i="1"/>
  <c r="AA34" i="1"/>
  <c r="Y34" i="1"/>
  <c r="AB21" i="1"/>
  <c r="AA21" i="1"/>
  <c r="Y21" i="1"/>
  <c r="AB15" i="1"/>
  <c r="AA15" i="1"/>
  <c r="Y15" i="1"/>
  <c r="AA23" i="1"/>
  <c r="Y23" i="1"/>
  <c r="AB33" i="1"/>
  <c r="AA33" i="1"/>
  <c r="Y33" i="1"/>
  <c r="W39" i="1"/>
  <c r="AF10" i="1"/>
  <c r="Z17" i="1"/>
  <c r="AG10" i="1" s="1"/>
  <c r="Y24" i="1"/>
  <c r="AA24" i="1"/>
  <c r="Z9" i="1"/>
  <c r="Y9" i="1"/>
  <c r="AA7" i="1"/>
  <c r="AB7" i="1" s="1"/>
  <c r="Y10" i="1"/>
  <c r="Z10" i="1"/>
  <c r="W13" i="1"/>
  <c r="AB19" i="1"/>
  <c r="W37" i="1"/>
  <c r="AA37" i="1" s="1"/>
  <c r="AB14" i="1"/>
  <c r="J37" i="1"/>
  <c r="K37" i="1" s="1"/>
  <c r="AB37" i="1" s="1"/>
  <c r="N37" i="1"/>
  <c r="N45" i="1"/>
  <c r="U11" i="1"/>
  <c r="J11" i="1"/>
  <c r="V43" i="1" l="1"/>
  <c r="V45" i="1" s="1"/>
  <c r="AF14" i="1" s="1"/>
  <c r="W6" i="1"/>
  <c r="AA6" i="1" s="1"/>
  <c r="AB6" i="1" s="1"/>
  <c r="AB17" i="1"/>
  <c r="AB43" i="1"/>
  <c r="Y39" i="1"/>
  <c r="AA39" i="1"/>
  <c r="W43" i="1"/>
  <c r="AA43" i="1" s="1"/>
  <c r="Z11" i="1"/>
  <c r="AF9" i="1"/>
  <c r="AA41" i="1"/>
  <c r="Y41" i="1"/>
  <c r="AB13" i="1"/>
  <c r="Y13" i="1"/>
  <c r="Y17" i="1" s="1"/>
  <c r="Y7" i="1"/>
  <c r="Y6" i="1" s="1"/>
  <c r="Y11" i="1" s="1"/>
  <c r="W17" i="1"/>
  <c r="AA17" i="1" s="1"/>
  <c r="U45" i="1"/>
  <c r="AF13" i="1" s="1"/>
  <c r="J45" i="1"/>
  <c r="K11" i="1"/>
  <c r="Y43" i="1" l="1"/>
  <c r="AF15" i="1"/>
  <c r="AG14" i="1"/>
  <c r="W11" i="1"/>
  <c r="AA11" i="1" s="1"/>
  <c r="AA45" i="1" s="1"/>
  <c r="Y45" i="1"/>
  <c r="Z45" i="1"/>
  <c r="AG13" i="1" s="1"/>
  <c r="AB11" i="1"/>
  <c r="K45" i="1"/>
  <c r="AG16" i="1" s="1"/>
  <c r="AF16" i="1"/>
  <c r="AF17" i="1" l="1"/>
  <c r="W45" i="1"/>
  <c r="AG15" i="1"/>
  <c r="AG17" i="1" s="1"/>
  <c r="AB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tc={74DEE7C0-6149-E84E-B673-7185E2E57814}</author>
  </authors>
  <commentList>
    <comment ref="E4" authorId="0" shapeId="0" xr:uid="{74DEE7C0-6149-E84E-B673-7185E2E57814}">
      <text>
        <t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Remplacer ces initiales par celles des membres de l’équipe. Supprimer les colonnes superflues (ex, si l’équipe n’a que 4 membres).</t>
      </text>
    </comment>
  </commentList>
</comments>
</file>

<file path=xl/sharedStrings.xml><?xml version="1.0" encoding="utf-8"?>
<sst xmlns="http://schemas.openxmlformats.org/spreadsheetml/2006/main" count="204" uniqueCount="117">
  <si>
    <t>Estimation</t>
  </si>
  <si>
    <t>Réel</t>
  </si>
  <si>
    <t>Date de début</t>
  </si>
  <si>
    <t>Date de fin</t>
  </si>
  <si>
    <t>Total</t>
  </si>
  <si>
    <t>Preuves de concept opérationnel</t>
  </si>
  <si>
    <t>- Maquettes</t>
  </si>
  <si>
    <t>Réunions</t>
  </si>
  <si>
    <t>Charte de projet</t>
  </si>
  <si>
    <t>Charte d’équipe</t>
  </si>
  <si>
    <t>Liste des activités (initiale)</t>
  </si>
  <si>
    <t>Liste d'activités</t>
  </si>
  <si>
    <t>Phase Démararge:</t>
  </si>
  <si>
    <t>- Définition des données requises</t>
  </si>
  <si>
    <t>Explication des écarts</t>
  </si>
  <si>
    <t>Durée</t>
  </si>
  <si>
    <t>Effort (heures)</t>
  </si>
  <si>
    <t>Taille</t>
  </si>
  <si>
    <t>Sous-total Démarrage:</t>
  </si>
  <si>
    <t>Phase Planification:</t>
  </si>
  <si>
    <t>Sous-total Planification:</t>
  </si>
  <si>
    <t>Écart D.</t>
  </si>
  <si>
    <t>n/a</t>
  </si>
  <si>
    <t>--</t>
  </si>
  <si>
    <t>Phase Réalisation</t>
  </si>
  <si>
    <t>Sous-total Réalisation:</t>
  </si>
  <si>
    <t>Phase Clôture</t>
  </si>
  <si>
    <t>Sous-total Clôture'</t>
  </si>
  <si>
    <t>Présentation du bilan</t>
  </si>
  <si>
    <t>Bilan de projet (initial)</t>
  </si>
  <si>
    <t>Bilan de projet (final)</t>
  </si>
  <si>
    <t>Rétrospective globale</t>
  </si>
  <si>
    <t>Carnet d'obstacles</t>
  </si>
  <si>
    <t>No.</t>
  </si>
  <si>
    <t>Description</t>
  </si>
  <si>
    <t>Titre court</t>
  </si>
  <si>
    <t>Date de création</t>
  </si>
  <si>
    <t>Affecté à (initiales)</t>
  </si>
  <si>
    <t>Statut</t>
  </si>
  <si>
    <t>Budget</t>
  </si>
  <si>
    <t>Tarif horaire:</t>
  </si>
  <si>
    <t>Montant</t>
  </si>
  <si>
    <t>Écart Ef.</t>
  </si>
  <si>
    <t>Coûts</t>
  </si>
  <si>
    <t>Écart C.</t>
  </si>
  <si>
    <t>Tâches/Activités par phase:</t>
  </si>
  <si>
    <t>Effort prévu</t>
  </si>
  <si>
    <t>Carnet de risques</t>
  </si>
  <si>
    <t>À date</t>
  </si>
  <si>
    <t>R.A.F.</t>
  </si>
  <si>
    <t>Statut:</t>
  </si>
  <si>
    <t>Pas commencé</t>
  </si>
  <si>
    <t>En cours</t>
  </si>
  <si>
    <t>Bloqué</t>
  </si>
  <si>
    <t>Terminé</t>
  </si>
  <si>
    <t>- Détailler les exigences</t>
  </si>
  <si>
    <t>Remarques</t>
  </si>
  <si>
    <t>Solution envisagée ou appliquée</t>
  </si>
  <si>
    <t>Description du risque</t>
  </si>
  <si>
    <t>Probabilité d'occurrence</t>
  </si>
  <si>
    <t>Niveau d'impact</t>
  </si>
  <si>
    <t>Plan(s) de contingence</t>
  </si>
  <si>
    <t>Plan(s) de mitigation</t>
  </si>
  <si>
    <t>Statuts:</t>
  </si>
  <si>
    <t>Négligeable</t>
  </si>
  <si>
    <t>Faible</t>
  </si>
  <si>
    <t>Moyen</t>
  </si>
  <si>
    <t>Élevé</t>
  </si>
  <si>
    <t>Ouvert</t>
  </si>
  <si>
    <t>En traitement</t>
  </si>
  <si>
    <t>Résolu</t>
  </si>
  <si>
    <t>Phase</t>
  </si>
  <si>
    <t>Grille de l'état de l'effort, des coûts et de la durée (pour les rapports de suivi et le bilan):</t>
  </si>
  <si>
    <t>Démarrage</t>
  </si>
  <si>
    <t>Planification</t>
  </si>
  <si>
    <t>Réalisation</t>
  </si>
  <si>
    <t>Clôture</t>
  </si>
  <si>
    <t>Total à date:</t>
  </si>
  <si>
    <t>Effort (hrs)</t>
  </si>
  <si>
    <t>Coûts ($)</t>
  </si>
  <si>
    <t>Durée (sem.)</t>
  </si>
  <si>
    <t>Prejetés</t>
  </si>
  <si>
    <t>Remarques:</t>
  </si>
  <si>
    <t>Total projeté:</t>
  </si>
  <si>
    <t>Budget initial</t>
  </si>
  <si>
    <t>Écart</t>
  </si>
  <si>
    <t>Mettre la durée manuellement</t>
  </si>
  <si>
    <t>Explication de l'écart</t>
  </si>
  <si>
    <r>
      <t xml:space="preserve">=Budget initial-Total projeté
Si l'écart est positif, en </t>
    </r>
    <r>
      <rPr>
        <sz val="10"/>
        <color theme="7" tint="-0.249977111117893"/>
        <rFont val="Arial"/>
        <family val="2"/>
      </rPr>
      <t>VERT</t>
    </r>
    <r>
      <rPr>
        <sz val="10"/>
        <color rgb="FF000000"/>
        <rFont val="Arial"/>
        <family val="2"/>
      </rPr>
      <t xml:space="preserve">
Si négatif, en </t>
    </r>
    <r>
      <rPr>
        <sz val="10"/>
        <color rgb="FFFF0000"/>
        <rFont val="Arial"/>
        <family val="2"/>
      </rPr>
      <t>ROUGE</t>
    </r>
  </si>
  <si>
    <t>Statut du risque</t>
  </si>
  <si>
    <t>Niveau d'impact:</t>
  </si>
  <si>
    <t>Fermé</t>
  </si>
  <si>
    <t>AN</t>
  </si>
  <si>
    <t>MG</t>
  </si>
  <si>
    <t>SLG</t>
  </si>
  <si>
    <t>BI</t>
  </si>
  <si>
    <t>GAM</t>
  </si>
  <si>
    <t>(USP)</t>
  </si>
  <si>
    <t>Issue #64 – Créer une demande de réparation</t>
  </si>
  <si>
    <t>Issue #1 – Gérer les comptes utilisateurs</t>
  </si>
  <si>
    <t>Issue #2 – Gérer les véhicules</t>
  </si>
  <si>
    <t>Issue #63 – Gérer les rendez-vous</t>
  </si>
  <si>
    <t>Issue #65 – Consulter l'état des réparations</t>
  </si>
  <si>
    <t>Issue #66 – Gérer les diagnostics</t>
  </si>
  <si>
    <t>Issue #67 – Gérer les interventions mécaniques</t>
  </si>
  <si>
    <t>Issue #68 – Gérer les utilisateurs et rôles</t>
  </si>
  <si>
    <t>Issue #69 – Gérer les types de réparations</t>
  </si>
  <si>
    <t>Issue #70 – Affecter les réparations aux mécaniciens</t>
  </si>
  <si>
    <t>Issue #71 – Consulter l'historique des réparations</t>
  </si>
  <si>
    <t>Issue #72 – Générer les factures</t>
  </si>
  <si>
    <t>Issue #73 – Gérer les paiements</t>
  </si>
  <si>
    <t>Issue #74 – Rechercher et consulter les dossiers clients</t>
  </si>
  <si>
    <t>Issue #75 – Gérer les pièces et l'inventaire</t>
  </si>
  <si>
    <t>Issue #76 – Envoyer des notifications et rappels</t>
  </si>
  <si>
    <t>Issue #77 – Gérer les évaluations et avis clients</t>
  </si>
  <si>
    <t>Issue #78 – Produire des rapports et statistiques</t>
  </si>
  <si>
    <t>FoxTrot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</si>
</sst>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)\ &quot;$&quot;_ ;_ * \(#,##0.00\)\ &quot;$&quot;_ ;_ * &quot;-&quot;??_)\ &quot;$&quot;_ ;_ @_ "/>
    <numFmt numFmtId="165" formatCode="dd\-mm\-yyyy"/>
    <numFmt numFmtId="166" formatCode="#,##0.00;\(#,##0.00\)"/>
    <numFmt numFmtId="167" formatCode="d\-m\-yyyy"/>
    <numFmt numFmtId="168" formatCode="#,##0.00\ &quot;$&quot;"/>
    <numFmt numFmtId="169" formatCode="0.0"/>
    <numFmt numFmtId="174" formatCode="_ * #,##0.00_)&quot; $&quot;_ ;_ * \(#,##0.00&quot;) $&quot;_ ;_ * \-??_)&quot; $&quot;_ ;_ @_ "/>
    <numFmt numFmtId="175" formatCode="yyyy\-mm\-dd"/>
  </numFmts>
  <fonts count="30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theme="4" tint="-0.499984740745262"/>
      <name val="Arial"/>
      <family val="2"/>
    </font>
    <font>
      <b/>
      <sz val="10"/>
      <color theme="1" tint="0.14999847407452621"/>
      <name val="Arial"/>
      <family val="2"/>
    </font>
    <font>
      <sz val="10"/>
      <color theme="7" tint="-0.249977111117893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  <charset val="1"/>
    </font>
    <font>
      <sz val="10"/>
      <color rgb="FF000000"/>
      <name val="Arial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A4C2F4"/>
      </patternFill>
    </fill>
    <fill>
      <patternFill patternType="solid">
        <fgColor theme="9" tint="0.59999389629810485"/>
        <bgColor rgb="FF93C47D"/>
      </patternFill>
    </fill>
    <fill>
      <patternFill patternType="solid">
        <fgColor theme="4"/>
        <bgColor rgb="FFB7B7B7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rgb="FFB7B7B7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rgb="FF93C47D"/>
      </patternFill>
    </fill>
    <fill>
      <patternFill patternType="solid">
        <fgColor rgb="FF7030A0"/>
        <bgColor rgb="FFB7B7B7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rgb="FFB7B7B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rgb="FF9FC5E8"/>
      </patternFill>
    </fill>
    <fill>
      <patternFill patternType="solid">
        <fgColor theme="7" tint="0.59999389629810485"/>
        <bgColor rgb="FF93C47D"/>
      </patternFill>
    </fill>
    <fill>
      <patternFill patternType="solid">
        <fgColor theme="0" tint="-0.499984740745262"/>
        <bgColor rgb="FFB7B7B7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1A2FE"/>
        <bgColor rgb="FFFF99CC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4" fontId="8" fillId="0" borderId="0" applyFont="0" applyFill="0" applyBorder="0" applyAlignment="0" applyProtection="0"/>
    <xf numFmtId="0" fontId="27" fillId="0" borderId="0"/>
    <xf numFmtId="174" fontId="26" fillId="0" borderId="0"/>
    <xf numFmtId="0" fontId="27" fillId="0" borderId="0"/>
  </cellStyleXfs>
  <cellXfs count="229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3" xfId="0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166" fontId="1" fillId="0" borderId="5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" fontId="1" fillId="12" borderId="8" xfId="0" applyNumberFormat="1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5" fillId="17" borderId="4" xfId="0" applyFont="1" applyFill="1" applyBorder="1" applyAlignment="1">
      <alignment horizontal="left" vertical="center" wrapText="1"/>
    </xf>
    <xf numFmtId="16" fontId="15" fillId="17" borderId="4" xfId="0" applyNumberFormat="1" applyFont="1" applyFill="1" applyBorder="1" applyAlignment="1">
      <alignment horizontal="center" vertical="center" wrapText="1"/>
    </xf>
    <xf numFmtId="16" fontId="15" fillId="17" borderId="1" xfId="0" applyNumberFormat="1" applyFont="1" applyFill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7" fillId="7" borderId="3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6" fillId="7" borderId="8" xfId="0" applyFont="1" applyFill="1" applyBorder="1" applyAlignment="1">
      <alignment horizontal="left" vertical="center" wrapText="1"/>
    </xf>
    <xf numFmtId="16" fontId="16" fillId="8" borderId="8" xfId="0" applyNumberFormat="1" applyFont="1" applyFill="1" applyBorder="1" applyAlignment="1">
      <alignment horizontal="center" vertical="center"/>
    </xf>
    <xf numFmtId="0" fontId="16" fillId="8" borderId="8" xfId="0" quotePrefix="1" applyFont="1" applyFill="1" applyBorder="1" applyAlignment="1">
      <alignment horizontal="center" vertical="center"/>
    </xf>
    <xf numFmtId="166" fontId="16" fillId="8" borderId="8" xfId="0" applyNumberFormat="1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7" fillId="5" borderId="3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 vertical="center"/>
    </xf>
    <xf numFmtId="16" fontId="16" fillId="6" borderId="8" xfId="0" applyNumberFormat="1" applyFont="1" applyFill="1" applyBorder="1" applyAlignment="1">
      <alignment horizontal="center" vertical="center"/>
    </xf>
    <xf numFmtId="0" fontId="16" fillId="6" borderId="8" xfId="0" quotePrefix="1" applyFont="1" applyFill="1" applyBorder="1" applyAlignment="1">
      <alignment horizontal="center" vertical="center"/>
    </xf>
    <xf numFmtId="166" fontId="16" fillId="6" borderId="8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left" vertical="center" wrapText="1"/>
    </xf>
    <xf numFmtId="0" fontId="16" fillId="10" borderId="8" xfId="0" applyFont="1" applyFill="1" applyBorder="1" applyAlignment="1">
      <alignment horizontal="left" vertical="center"/>
    </xf>
    <xf numFmtId="16" fontId="16" fillId="11" borderId="8" xfId="0" applyNumberFormat="1" applyFont="1" applyFill="1" applyBorder="1" applyAlignment="1">
      <alignment horizontal="center" vertical="center"/>
    </xf>
    <xf numFmtId="1" fontId="16" fillId="11" borderId="8" xfId="0" applyNumberFormat="1" applyFont="1" applyFill="1" applyBorder="1" applyAlignment="1">
      <alignment horizontal="center" vertical="center"/>
    </xf>
    <xf numFmtId="166" fontId="16" fillId="11" borderId="8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6" fillId="13" borderId="3" xfId="0" applyFont="1" applyFill="1" applyBorder="1" applyAlignment="1">
      <alignment horizontal="left" vertical="center" wrapText="1"/>
    </xf>
    <xf numFmtId="0" fontId="16" fillId="14" borderId="6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6" fontId="16" fillId="14" borderId="8" xfId="0" applyNumberFormat="1" applyFont="1" applyFill="1" applyBorder="1" applyAlignment="1">
      <alignment horizontal="center" vertical="center"/>
    </xf>
    <xf numFmtId="166" fontId="15" fillId="17" borderId="8" xfId="0" applyNumberFormat="1" applyFont="1" applyFill="1" applyBorder="1" applyAlignment="1">
      <alignment horizontal="center" vertical="center" wrapText="1"/>
    </xf>
    <xf numFmtId="16" fontId="1" fillId="0" borderId="8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" fontId="16" fillId="14" borderId="8" xfId="0" applyNumberFormat="1" applyFont="1" applyFill="1" applyBorder="1" applyAlignment="1">
      <alignment horizontal="center" vertical="center"/>
    </xf>
    <xf numFmtId="0" fontId="16" fillId="14" borderId="8" xfId="0" quotePrefix="1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16" fontId="15" fillId="18" borderId="8" xfId="0" applyNumberFormat="1" applyFont="1" applyFill="1" applyBorder="1" applyAlignment="1">
      <alignment horizontal="center" vertical="center" wrapText="1"/>
    </xf>
    <xf numFmtId="166" fontId="15" fillId="18" borderId="8" xfId="0" applyNumberFormat="1" applyFont="1" applyFill="1" applyBorder="1" applyAlignment="1">
      <alignment horizontal="center" vertical="center" wrapText="1"/>
    </xf>
    <xf numFmtId="164" fontId="0" fillId="0" borderId="0" xfId="1" applyFont="1" applyAlignment="1">
      <alignment vertical="center"/>
    </xf>
    <xf numFmtId="164" fontId="16" fillId="8" borderId="8" xfId="1" applyFont="1" applyFill="1" applyBorder="1" applyAlignment="1">
      <alignment horizontal="center" vertical="center"/>
    </xf>
    <xf numFmtId="164" fontId="17" fillId="5" borderId="8" xfId="1" applyFont="1" applyFill="1" applyBorder="1" applyAlignment="1">
      <alignment horizontal="center" vertical="center" wrapText="1"/>
    </xf>
    <xf numFmtId="164" fontId="16" fillId="6" borderId="8" xfId="1" applyFont="1" applyFill="1" applyBorder="1" applyAlignment="1">
      <alignment horizontal="center" vertical="center"/>
    </xf>
    <xf numFmtId="164" fontId="16" fillId="11" borderId="8" xfId="1" applyFont="1" applyFill="1" applyBorder="1" applyAlignment="1">
      <alignment horizontal="center" vertical="center"/>
    </xf>
    <xf numFmtId="164" fontId="16" fillId="14" borderId="8" xfId="1" applyFont="1" applyFill="1" applyBorder="1" applyAlignment="1">
      <alignment horizontal="center" vertical="center"/>
    </xf>
    <xf numFmtId="164" fontId="2" fillId="0" borderId="6" xfId="1" applyFont="1" applyBorder="1" applyAlignment="1">
      <alignment horizontal="center" vertical="center"/>
    </xf>
    <xf numFmtId="164" fontId="15" fillId="17" borderId="8" xfId="1" applyFont="1" applyFill="1" applyBorder="1" applyAlignment="1">
      <alignment horizontal="center" vertical="center" wrapText="1"/>
    </xf>
    <xf numFmtId="164" fontId="1" fillId="12" borderId="8" xfId="1" applyFont="1" applyFill="1" applyBorder="1" applyAlignment="1">
      <alignment horizontal="center" vertical="center"/>
    </xf>
    <xf numFmtId="164" fontId="1" fillId="0" borderId="8" xfId="1" applyFont="1" applyBorder="1" applyAlignment="1">
      <alignment horizontal="center" vertical="center"/>
    </xf>
    <xf numFmtId="164" fontId="16" fillId="10" borderId="8" xfId="1" applyFont="1" applyFill="1" applyBorder="1" applyAlignment="1">
      <alignment horizontal="center" vertical="center" wrapText="1"/>
    </xf>
    <xf numFmtId="164" fontId="16" fillId="13" borderId="8" xfId="1" applyFont="1" applyFill="1" applyBorder="1" applyAlignment="1">
      <alignment horizontal="center" vertical="center" wrapText="1"/>
    </xf>
    <xf numFmtId="164" fontId="4" fillId="0" borderId="0" xfId="1" applyFont="1" applyBorder="1" applyAlignment="1">
      <alignment horizontal="center" vertical="center"/>
    </xf>
    <xf numFmtId="164" fontId="1" fillId="0" borderId="0" xfId="1" applyFont="1" applyAlignment="1">
      <alignment vertical="center"/>
    </xf>
    <xf numFmtId="0" fontId="7" fillId="19" borderId="8" xfId="0" applyFont="1" applyFill="1" applyBorder="1" applyAlignment="1">
      <alignment vertical="center"/>
    </xf>
    <xf numFmtId="168" fontId="0" fillId="19" borderId="8" xfId="0" applyNumberForma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16" fillId="8" borderId="8" xfId="0" applyNumberFormat="1" applyFont="1" applyFill="1" applyBorder="1" applyAlignment="1">
      <alignment horizontal="center" vertical="center"/>
    </xf>
    <xf numFmtId="2" fontId="16" fillId="6" borderId="8" xfId="0" applyNumberFormat="1" applyFont="1" applyFill="1" applyBorder="1" applyAlignment="1">
      <alignment horizontal="center" vertical="center"/>
    </xf>
    <xf numFmtId="2" fontId="16" fillId="11" borderId="8" xfId="0" applyNumberFormat="1" applyFont="1" applyFill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15" fillId="17" borderId="3" xfId="0" applyNumberFormat="1" applyFont="1" applyFill="1" applyBorder="1" applyAlignment="1">
      <alignment horizontal="center" vertical="center" wrapText="1"/>
    </xf>
    <xf numFmtId="2" fontId="15" fillId="17" borderId="2" xfId="0" applyNumberFormat="1" applyFont="1" applyFill="1" applyBorder="1" applyAlignment="1">
      <alignment horizontal="center" vertical="center" wrapText="1"/>
    </xf>
    <xf numFmtId="2" fontId="15" fillId="17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vertical="center"/>
    </xf>
    <xf numFmtId="164" fontId="17" fillId="7" borderId="8" xfId="1" applyFont="1" applyFill="1" applyBorder="1" applyAlignment="1">
      <alignment horizontal="center" vertical="center" wrapText="1"/>
    </xf>
    <xf numFmtId="0" fontId="1" fillId="0" borderId="18" xfId="0" applyFont="1" applyBorder="1" applyAlignment="1">
      <alignment vertical="center"/>
    </xf>
    <xf numFmtId="16" fontId="1" fillId="0" borderId="16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4" fontId="1" fillId="0" borderId="16" xfId="1" applyFont="1" applyBorder="1" applyAlignment="1">
      <alignment horizontal="center" vertical="center"/>
    </xf>
    <xf numFmtId="16" fontId="17" fillId="7" borderId="8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 vertical="center" wrapText="1"/>
    </xf>
    <xf numFmtId="165" fontId="1" fillId="12" borderId="8" xfId="0" applyNumberFormat="1" applyFont="1" applyFill="1" applyBorder="1" applyAlignment="1">
      <alignment horizontal="center" vertical="center"/>
    </xf>
    <xf numFmtId="2" fontId="1" fillId="12" borderId="8" xfId="0" applyNumberFormat="1" applyFont="1" applyFill="1" applyBorder="1" applyAlignment="1">
      <alignment horizontal="center" vertical="center"/>
    </xf>
    <xf numFmtId="0" fontId="7" fillId="3" borderId="8" xfId="0" quotePrefix="1" applyFont="1" applyFill="1" applyBorder="1" applyAlignment="1">
      <alignment horizontal="left" vertical="center" wrapText="1"/>
    </xf>
    <xf numFmtId="16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2" fontId="3" fillId="12" borderId="8" xfId="0" applyNumberFormat="1" applyFont="1" applyFill="1" applyBorder="1" applyAlignment="1">
      <alignment horizontal="center" vertical="center"/>
    </xf>
    <xf numFmtId="164" fontId="3" fillId="12" borderId="8" xfId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 vertical="center" wrapText="1"/>
    </xf>
    <xf numFmtId="16" fontId="17" fillId="5" borderId="8" xfId="0" applyNumberFormat="1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2" fontId="17" fillId="5" borderId="8" xfId="0" applyNumberFormat="1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left" vertical="center" wrapText="1"/>
    </xf>
    <xf numFmtId="167" fontId="3" fillId="0" borderId="8" xfId="0" applyNumberFormat="1" applyFont="1" applyBorder="1" applyAlignment="1">
      <alignment horizontal="center" vertical="center"/>
    </xf>
    <xf numFmtId="0" fontId="16" fillId="10" borderId="8" xfId="0" applyFont="1" applyFill="1" applyBorder="1" applyAlignment="1">
      <alignment horizontal="left" vertical="center" wrapText="1"/>
    </xf>
    <xf numFmtId="16" fontId="16" fillId="10" borderId="8" xfId="0" applyNumberFormat="1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2" fontId="16" fillId="10" borderId="8" xfId="0" applyNumberFormat="1" applyFont="1" applyFill="1" applyBorder="1" applyAlignment="1">
      <alignment horizontal="center" vertical="center" wrapText="1"/>
    </xf>
    <xf numFmtId="167" fontId="2" fillId="0" borderId="8" xfId="0" applyNumberFormat="1" applyFont="1" applyBorder="1" applyAlignment="1">
      <alignment horizontal="center" vertical="center"/>
    </xf>
    <xf numFmtId="166" fontId="1" fillId="12" borderId="8" xfId="0" applyNumberFormat="1" applyFont="1" applyFill="1" applyBorder="1" applyAlignment="1">
      <alignment horizontal="center" vertical="center"/>
    </xf>
    <xf numFmtId="0" fontId="16" fillId="13" borderId="8" xfId="0" applyFont="1" applyFill="1" applyBorder="1" applyAlignment="1">
      <alignment horizontal="left" vertical="center" wrapText="1"/>
    </xf>
    <xf numFmtId="16" fontId="16" fillId="13" borderId="8" xfId="0" applyNumberFormat="1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2" fontId="16" fillId="13" borderId="8" xfId="0" applyNumberFormat="1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left" vertical="center" wrapText="1"/>
    </xf>
    <xf numFmtId="0" fontId="7" fillId="16" borderId="8" xfId="0" applyFont="1" applyFill="1" applyBorder="1" applyAlignment="1">
      <alignment horizontal="left" vertical="center" wrapText="1"/>
    </xf>
    <xf numFmtId="0" fontId="16" fillId="13" borderId="8" xfId="0" applyFont="1" applyFill="1" applyBorder="1" applyAlignment="1">
      <alignment horizontal="left" vertical="center"/>
    </xf>
    <xf numFmtId="2" fontId="16" fillId="14" borderId="8" xfId="0" applyNumberFormat="1" applyFont="1" applyFill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" fontId="17" fillId="8" borderId="8" xfId="0" applyNumberFormat="1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169" fontId="1" fillId="12" borderId="8" xfId="0" applyNumberFormat="1" applyFont="1" applyFill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9" fontId="3" fillId="12" borderId="8" xfId="0" applyNumberFormat="1" applyFont="1" applyFill="1" applyBorder="1" applyAlignment="1">
      <alignment horizontal="center" vertical="center"/>
    </xf>
    <xf numFmtId="166" fontId="3" fillId="12" borderId="8" xfId="0" applyNumberFormat="1" applyFont="1" applyFill="1" applyBorder="1" applyAlignment="1">
      <alignment horizontal="center" vertical="center"/>
    </xf>
    <xf numFmtId="16" fontId="16" fillId="11" borderId="8" xfId="0" applyNumberFormat="1" applyFont="1" applyFill="1" applyBorder="1" applyAlignment="1">
      <alignment horizontal="center" vertical="center" wrapText="1"/>
    </xf>
    <xf numFmtId="164" fontId="2" fillId="12" borderId="8" xfId="1" applyFont="1" applyFill="1" applyBorder="1" applyAlignment="1">
      <alignment horizontal="center" vertical="center"/>
    </xf>
    <xf numFmtId="16" fontId="16" fillId="14" borderId="8" xfId="0" applyNumberFormat="1" applyFont="1" applyFill="1" applyBorder="1" applyAlignment="1">
      <alignment horizontal="center" vertical="center" wrapText="1"/>
    </xf>
    <xf numFmtId="0" fontId="1" fillId="19" borderId="15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7" fillId="20" borderId="8" xfId="0" applyFont="1" applyFill="1" applyBorder="1" applyAlignment="1">
      <alignment vertical="center"/>
    </xf>
    <xf numFmtId="0" fontId="7" fillId="21" borderId="8" xfId="0" applyFont="1" applyFill="1" applyBorder="1" applyAlignment="1">
      <alignment vertical="center"/>
    </xf>
    <xf numFmtId="0" fontId="7" fillId="22" borderId="8" xfId="0" applyFont="1" applyFill="1" applyBorder="1" applyAlignment="1">
      <alignment vertical="center"/>
    </xf>
    <xf numFmtId="0" fontId="7" fillId="23" borderId="8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vertical="center"/>
    </xf>
    <xf numFmtId="166" fontId="19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166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/>
    </xf>
    <xf numFmtId="166" fontId="9" fillId="0" borderId="8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vertical="center"/>
    </xf>
    <xf numFmtId="166" fontId="22" fillId="0" borderId="8" xfId="0" applyNumberFormat="1" applyFont="1" applyBorder="1" applyAlignment="1">
      <alignment horizontal="center" vertical="center"/>
    </xf>
    <xf numFmtId="164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vertical="center"/>
    </xf>
    <xf numFmtId="2" fontId="23" fillId="0" borderId="8" xfId="0" applyNumberFormat="1" applyFont="1" applyBorder="1" applyAlignment="1">
      <alignment horizontal="center" vertical="center"/>
    </xf>
    <xf numFmtId="164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7" fillId="24" borderId="8" xfId="0" applyFont="1" applyFill="1" applyBorder="1" applyAlignment="1">
      <alignment vertical="center"/>
    </xf>
    <xf numFmtId="0" fontId="25" fillId="25" borderId="8" xfId="0" applyFont="1" applyFill="1" applyBorder="1" applyAlignment="1">
      <alignment vertical="center"/>
    </xf>
    <xf numFmtId="0" fontId="25" fillId="26" borderId="8" xfId="0" applyFont="1" applyFill="1" applyBorder="1" applyAlignment="1">
      <alignment vertical="center"/>
    </xf>
    <xf numFmtId="0" fontId="7" fillId="27" borderId="8" xfId="0" applyFont="1" applyFill="1" applyBorder="1" applyAlignment="1">
      <alignment vertical="center"/>
    </xf>
    <xf numFmtId="0" fontId="7" fillId="28" borderId="8" xfId="0" applyFont="1" applyFill="1" applyBorder="1" applyAlignment="1">
      <alignment vertical="center"/>
    </xf>
    <xf numFmtId="0" fontId="7" fillId="29" borderId="8" xfId="0" applyFont="1" applyFill="1" applyBorder="1" applyAlignment="1">
      <alignment vertical="center"/>
    </xf>
    <xf numFmtId="0" fontId="25" fillId="23" borderId="8" xfId="0" applyFont="1" applyFill="1" applyBorder="1" applyAlignment="1">
      <alignment vertical="center"/>
    </xf>
    <xf numFmtId="0" fontId="7" fillId="30" borderId="8" xfId="0" applyFont="1" applyFill="1" applyBorder="1" applyAlignment="1">
      <alignment vertical="center"/>
    </xf>
    <xf numFmtId="0" fontId="7" fillId="0" borderId="0" xfId="0" quotePrefix="1" applyFont="1" applyAlignment="1">
      <alignment horizontal="left" vertical="top" wrapText="1"/>
    </xf>
    <xf numFmtId="0" fontId="7" fillId="0" borderId="0" xfId="0" quotePrefix="1" applyFont="1" applyAlignment="1">
      <alignment horizontal="left" vertical="top"/>
    </xf>
    <xf numFmtId="0" fontId="21" fillId="0" borderId="2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12" fillId="0" borderId="20" xfId="0" applyFont="1" applyBorder="1" applyAlignment="1">
      <alignment horizontal="center" vertical="center"/>
    </xf>
    <xf numFmtId="0" fontId="12" fillId="19" borderId="8" xfId="0" applyFont="1" applyFill="1" applyBorder="1" applyAlignment="1">
      <alignment horizontal="center" vertical="center"/>
    </xf>
    <xf numFmtId="16" fontId="5" fillId="0" borderId="20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2" borderId="17" xfId="0" applyFill="1" applyBorder="1" applyAlignment="1">
      <alignment horizontal="center" vertical="center" wrapText="1"/>
    </xf>
    <xf numFmtId="16" fontId="1" fillId="12" borderId="8" xfId="0" applyNumberFormat="1" applyFont="1" applyFill="1" applyBorder="1" applyAlignment="1">
      <alignment horizontal="center" vertical="center"/>
    </xf>
    <xf numFmtId="16" fontId="1" fillId="12" borderId="9" xfId="0" applyNumberFormat="1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9" borderId="15" xfId="0" applyFont="1" applyFill="1" applyBorder="1" applyAlignment="1">
      <alignment horizontal="center" vertical="center"/>
    </xf>
    <xf numFmtId="16" fontId="17" fillId="6" borderId="8" xfId="0" applyNumberFormat="1" applyFont="1" applyFill="1" applyBorder="1" applyAlignment="1">
      <alignment horizontal="center" vertical="center" wrapText="1"/>
    </xf>
    <xf numFmtId="16" fontId="16" fillId="14" borderId="8" xfId="0" applyNumberFormat="1" applyFont="1" applyFill="1" applyBorder="1" applyAlignment="1">
      <alignment horizontal="center" vertical="center" wrapText="1"/>
    </xf>
    <xf numFmtId="0" fontId="12" fillId="12" borderId="8" xfId="0" applyFont="1" applyFill="1" applyBorder="1" applyAlignment="1">
      <alignment horizontal="center" vertical="center"/>
    </xf>
    <xf numFmtId="16" fontId="16" fillId="11" borderId="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26" fillId="31" borderId="8" xfId="0" applyFont="1" applyFill="1" applyBorder="1" applyAlignment="1">
      <alignment horizontal="left" vertical="center" wrapText="1"/>
    </xf>
    <xf numFmtId="175" fontId="29" fillId="0" borderId="8" xfId="2" applyNumberFormat="1" applyFont="1" applyBorder="1" applyAlignment="1">
      <alignment horizontal="center" vertical="center"/>
    </xf>
    <xf numFmtId="165" fontId="29" fillId="0" borderId="8" xfId="2" applyNumberFormat="1" applyFont="1" applyBorder="1" applyAlignment="1">
      <alignment horizontal="center" vertical="center"/>
    </xf>
    <xf numFmtId="2" fontId="29" fillId="0" borderId="8" xfId="2" applyNumberFormat="1" applyFont="1" applyBorder="1" applyAlignment="1">
      <alignment horizontal="center" vertical="center"/>
    </xf>
    <xf numFmtId="175" fontId="29" fillId="0" borderId="8" xfId="4" applyNumberFormat="1" applyFont="1" applyBorder="1" applyAlignment="1">
      <alignment horizontal="center" vertical="center"/>
    </xf>
    <xf numFmtId="2" fontId="29" fillId="0" borderId="8" xfId="4" applyNumberFormat="1" applyFont="1" applyBorder="1" applyAlignment="1">
      <alignment horizontal="center" vertical="center"/>
    </xf>
    <xf numFmtId="167" fontId="29" fillId="0" borderId="8" xfId="4" applyNumberFormat="1" applyFont="1" applyBorder="1" applyAlignment="1">
      <alignment horizontal="center" vertical="center"/>
    </xf>
    <xf numFmtId="2" fontId="28" fillId="0" borderId="8" xfId="4" applyNumberFormat="1" applyFont="1" applyBorder="1" applyAlignment="1">
      <alignment horizontal="center" vertical="center"/>
    </xf>
    <xf numFmtId="175" fontId="29" fillId="0" borderId="8" xfId="4" applyNumberFormat="1" applyFont="1" applyBorder="1" applyAlignment="1">
      <alignment horizontal="center" vertical="center"/>
    </xf>
    <xf numFmtId="2" fontId="29" fillId="0" borderId="8" xfId="4" applyNumberFormat="1" applyFont="1" applyBorder="1" applyAlignment="1">
      <alignment horizontal="center" vertical="center"/>
    </xf>
    <xf numFmtId="166" fontId="29" fillId="0" borderId="8" xfId="4" applyNumberFormat="1" applyFont="1" applyBorder="1" applyAlignment="1">
      <alignment horizontal="center" vertical="center"/>
    </xf>
    <xf numFmtId="175" fontId="28" fillId="0" borderId="8" xfId="4" applyNumberFormat="1" applyFont="1" applyBorder="1" applyAlignment="1">
      <alignment horizontal="center" vertical="center"/>
    </xf>
    <xf numFmtId="1" fontId="28" fillId="0" borderId="8" xfId="4" applyNumberFormat="1" applyFont="1" applyBorder="1" applyAlignment="1">
      <alignment horizontal="center" vertical="center"/>
    </xf>
    <xf numFmtId="175" fontId="29" fillId="0" borderId="8" xfId="4" applyNumberFormat="1" applyFont="1" applyBorder="1" applyAlignment="1">
      <alignment horizontal="center" vertical="center"/>
    </xf>
    <xf numFmtId="2" fontId="29" fillId="0" borderId="8" xfId="4" applyNumberFormat="1" applyFont="1" applyBorder="1" applyAlignment="1">
      <alignment horizontal="center" vertical="center"/>
    </xf>
    <xf numFmtId="167" fontId="29" fillId="0" borderId="8" xfId="4" applyNumberFormat="1" applyFont="1" applyBorder="1" applyAlignment="1">
      <alignment horizontal="center" vertical="center"/>
    </xf>
    <xf numFmtId="2" fontId="28" fillId="0" borderId="8" xfId="4" applyNumberFormat="1" applyFont="1" applyBorder="1" applyAlignment="1">
      <alignment horizontal="center" vertical="center"/>
    </xf>
    <xf numFmtId="175" fontId="28" fillId="0" borderId="8" xfId="4" applyNumberFormat="1" applyFont="1" applyBorder="1" applyAlignment="1">
      <alignment horizontal="center" vertical="center"/>
    </xf>
    <xf numFmtId="167" fontId="28" fillId="0" borderId="8" xfId="4" applyNumberFormat="1" applyFont="1" applyBorder="1" applyAlignment="1">
      <alignment horizontal="center" vertical="center"/>
    </xf>
    <xf numFmtId="166" fontId="29" fillId="0" borderId="8" xfId="4" applyNumberFormat="1" applyFont="1" applyBorder="1" applyAlignment="1">
      <alignment horizontal="center" vertical="center"/>
    </xf>
    <xf numFmtId="166" fontId="29" fillId="0" borderId="8" xfId="4" applyNumberFormat="1" applyFont="1" applyBorder="1" applyAlignment="1">
      <alignment horizontal="center" vertical="center"/>
    </xf>
    <xf numFmtId="166" fontId="28" fillId="0" borderId="8" xfId="4" applyNumberFormat="1" applyFont="1" applyBorder="1" applyAlignment="1">
      <alignment horizontal="center" vertical="center"/>
    </xf>
  </cellXfs>
  <cellStyles count="5">
    <cellStyle name="Monétaire" xfId="1" builtinId="4"/>
    <cellStyle name="Monétaire 2" xfId="3" xr:uid="{CB3B15D0-A35D-44D5-AEB3-D8D3C69A1CAF}"/>
    <cellStyle name="Normal" xfId="0" builtinId="0"/>
    <cellStyle name="Normal 2" xfId="4" xr:uid="{952DC8A1-D8FF-4F17-A248-DB6C365AA9A7}"/>
    <cellStyle name="Normal 3" xfId="2" xr:uid="{258B3E6A-1317-4862-A210-0F9DAE6EB1D0}"/>
  </cellStyles>
  <dxfs count="23"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 patternType="solid"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8DF9"/>
      <color rgb="FF005493"/>
      <color rgb="FFE1A2FE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TP2-FoxTrot-Liste_Activites-H26.xlsx" TargetMode="External"/><Relationship Id="rId1" Type="http://schemas.openxmlformats.org/officeDocument/2006/relationships/externalLinkPath" Target="TP2-FoxTrot-Liste_Activites-H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ités"/>
      <sheetName val="Obstacles"/>
      <sheetName val="Risques"/>
    </sheetNames>
    <sheetDataSet>
      <sheetData sheetId="0">
        <row r="7">
          <cell r="B7">
            <v>46153</v>
          </cell>
        </row>
      </sheetData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rudel, Sylvie" id="{6ACAD535-E4FE-CE42-A7C0-3B8AFD6E4515}" userId="S::trudel.s@uqam.ca::2f8a4b8b-8962-4b9a-abd7-1a409649b3c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12FB0F-C40A-B748-8030-98D340CFAB34}" name="Tableau2" displayName="Tableau2" ref="A4:G10" totalsRowShown="0" dataDxfId="22">
  <autoFilter ref="A4:G10" xr:uid="{8AE4CE81-0313-2046-8C9D-FC8A5BDAF35E}"/>
  <tableColumns count="7">
    <tableColumn id="1" xr3:uid="{36580D9E-E44F-E144-9187-9D6816E7AD65}" name="No." dataDxfId="21"/>
    <tableColumn id="2" xr3:uid="{EF559DC7-F47B-9848-8130-B462D7345CF6}" name="Titre court" dataDxfId="20"/>
    <tableColumn id="3" xr3:uid="{82194528-C6CF-814C-9068-B4CEE7AB8C8E}" name="Description" dataDxfId="19"/>
    <tableColumn id="4" xr3:uid="{FD6B68BF-B7A7-6B4C-89C4-B008807F3FC2}" name="Date de création" dataDxfId="18"/>
    <tableColumn id="5" xr3:uid="{9BF3BF16-17B1-F146-97D3-9D22567C832F}" name="Affecté à (initiales)" dataDxfId="17"/>
    <tableColumn id="6" xr3:uid="{7AF9C5EC-5B6E-5C43-B14B-1BBD1D028344}" name="Statut" dataDxfId="16"/>
    <tableColumn id="7" xr3:uid="{A53E42DA-438D-C749-AC68-3D736120C878}" name="Solution envisagée ou appliquée" dataDxfId="1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EC000B-D60C-D54E-89A3-4DAFB6D317CF}" name="Tableau3" displayName="Tableau3" ref="A4:J9" totalsRowShown="0" dataDxfId="14">
  <autoFilter ref="A4:J9" xr:uid="{E1E6DC87-7A9F-264E-BA03-CD93728E459B}"/>
  <tableColumns count="10">
    <tableColumn id="1" xr3:uid="{700F170B-9E35-454D-B601-2C8F61AC472A}" name="No." dataDxfId="13"/>
    <tableColumn id="2" xr3:uid="{69AD1862-3369-2F48-9B47-23217AD6E1A7}" name="Titre court" dataDxfId="12"/>
    <tableColumn id="3" xr3:uid="{1204722B-3D6B-0843-9A2E-7ED16DAED71A}" name="Description du risque" dataDxfId="11"/>
    <tableColumn id="4" xr3:uid="{6CE70BC6-06C1-D24D-98D7-4A3E45D6488D}" name="Probabilité d'occurrence" dataDxfId="10"/>
    <tableColumn id="5" xr3:uid="{C1803549-A0D1-3B45-A312-78E45EC1161F}" name="Niveau d'impact" dataDxfId="9"/>
    <tableColumn id="6" xr3:uid="{AB57BB6B-52E7-7147-B89C-61E7504410DB}" name="Date de création" dataDxfId="8"/>
    <tableColumn id="7" xr3:uid="{4A075D44-5451-5A41-8EB6-CFDC70386649}" name="Affecté à (initiales)" dataDxfId="7"/>
    <tableColumn id="8" xr3:uid="{32D938AC-3C43-104A-96A5-6759770A9983}" name="Statut" dataDxfId="6"/>
    <tableColumn id="9" xr3:uid="{9C3D641B-166E-7A4F-8FEA-A4067A23B751}" name="Plan(s) de mitigation" dataDxfId="5"/>
    <tableColumn id="10" xr3:uid="{43F9D95D-A1C9-D540-AD50-99C65F9EF0BB}" name="Plan(s) de contingenc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1-01-30T21:09:34.59" personId="{6ACAD535-E4FE-CE42-A7C0-3B8AFD6E4515}" id="{74DEE7C0-6149-E84E-B673-7185E2E57814}">
    <text>Remplacer ces initiales par celles des membres de l’équipe. Supprimer les colonnes superflues (ex, si l’équipe n’a que 4 membres).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31"/>
  <sheetViews>
    <sheetView tabSelected="1" zoomScale="85" zoomScaleNormal="10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P11" sqref="P11"/>
    </sheetView>
  </sheetViews>
  <sheetFormatPr baseColWidth="10" defaultColWidth="14.42578125" defaultRowHeight="15.75" customHeight="1" outlineLevelRow="2" x14ac:dyDescent="0.2"/>
  <cols>
    <col min="1" max="1" width="34.7109375" style="2" customWidth="1"/>
    <col min="2" max="2" width="12.85546875" style="16" customWidth="1"/>
    <col min="3" max="3" width="11.42578125" style="16" customWidth="1"/>
    <col min="4" max="4" width="11.42578125" style="3" customWidth="1"/>
    <col min="5" max="7" width="7.28515625" style="2" customWidth="1"/>
    <col min="8" max="9" width="7.7109375" style="2" bestFit="1" customWidth="1"/>
    <col min="10" max="10" width="10.7109375" style="2" bestFit="1" customWidth="1"/>
    <col min="11" max="11" width="17.28515625" style="66" customWidth="1"/>
    <col min="12" max="12" width="2.42578125" style="2" customWidth="1"/>
    <col min="13" max="13" width="10.140625" style="16" customWidth="1"/>
    <col min="14" max="14" width="12.28515625" style="2" customWidth="1"/>
    <col min="15" max="15" width="10.140625" style="2" customWidth="1"/>
    <col min="16" max="16" width="7.140625" style="2" customWidth="1"/>
    <col min="17" max="17" width="8.42578125" style="2" customWidth="1"/>
    <col min="18" max="18" width="7.140625" style="2" customWidth="1"/>
    <col min="19" max="19" width="7.28515625" style="2" customWidth="1"/>
    <col min="20" max="20" width="7.7109375" style="2" customWidth="1"/>
    <col min="21" max="21" width="8" style="2" customWidth="1"/>
    <col min="22" max="22" width="9.7109375" style="2" customWidth="1"/>
    <col min="23" max="23" width="9.140625" style="2" customWidth="1"/>
    <col min="24" max="24" width="13.28515625" style="2" bestFit="1" customWidth="1"/>
    <col min="25" max="25" width="7.28515625" style="2" customWidth="1"/>
    <col min="26" max="26" width="15.140625" style="66" customWidth="1"/>
    <col min="27" max="27" width="16" style="66" customWidth="1"/>
    <col min="28" max="28" width="17.140625" style="66" customWidth="1"/>
    <col min="29" max="29" width="29.85546875" style="2" customWidth="1"/>
    <col min="30" max="30" width="14.42578125" style="2"/>
    <col min="31" max="31" width="12" style="2" customWidth="1"/>
    <col min="32" max="32" width="9.140625" style="3" bestFit="1" customWidth="1"/>
    <col min="33" max="33" width="9.85546875" style="3" customWidth="1"/>
    <col min="34" max="34" width="10.85546875" style="3" bestFit="1" customWidth="1"/>
    <col min="35" max="35" width="34.140625" style="2" customWidth="1"/>
    <col min="36" max="16384" width="14.42578125" style="2"/>
  </cols>
  <sheetData>
    <row r="1" spans="1:43" ht="15.75" customHeight="1" x14ac:dyDescent="0.2">
      <c r="A1" s="1" t="s">
        <v>11</v>
      </c>
      <c r="B1" s="191" t="s">
        <v>116</v>
      </c>
      <c r="C1" s="191"/>
      <c r="D1" s="191"/>
      <c r="E1" s="191"/>
      <c r="F1" s="191"/>
      <c r="G1" s="191"/>
      <c r="H1" s="191"/>
      <c r="I1" s="191"/>
      <c r="J1" s="191"/>
      <c r="K1" s="191"/>
      <c r="L1" s="11"/>
      <c r="M1" s="193" t="s">
        <v>116</v>
      </c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</row>
    <row r="2" spans="1:43" s="11" customFormat="1" ht="15.75" customHeight="1" x14ac:dyDescent="0.2">
      <c r="B2" s="204" t="s">
        <v>0</v>
      </c>
      <c r="C2" s="204"/>
      <c r="D2" s="204"/>
      <c r="E2" s="204"/>
      <c r="F2" s="204"/>
      <c r="G2" s="204"/>
      <c r="H2" s="204"/>
      <c r="I2" s="204"/>
      <c r="J2" s="204"/>
      <c r="K2" s="204"/>
      <c r="L2" s="54"/>
      <c r="M2" s="192" t="s">
        <v>1</v>
      </c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F2" s="148"/>
      <c r="AG2" s="148"/>
      <c r="AH2" s="148"/>
    </row>
    <row r="3" spans="1:43" ht="15.75" customHeight="1" x14ac:dyDescent="0.2">
      <c r="B3" s="197" t="s">
        <v>15</v>
      </c>
      <c r="C3" s="198"/>
      <c r="D3" s="22" t="s">
        <v>17</v>
      </c>
      <c r="E3" s="199" t="s">
        <v>16</v>
      </c>
      <c r="F3" s="200"/>
      <c r="G3" s="200"/>
      <c r="H3" s="200"/>
      <c r="I3" s="200"/>
      <c r="J3" s="200"/>
      <c r="K3" s="74" t="s">
        <v>39</v>
      </c>
      <c r="L3" s="12"/>
      <c r="M3" s="201" t="s">
        <v>15</v>
      </c>
      <c r="N3" s="201"/>
      <c r="O3" s="141" t="s">
        <v>17</v>
      </c>
      <c r="P3" s="201" t="s">
        <v>16</v>
      </c>
      <c r="Q3" s="201"/>
      <c r="R3" s="201"/>
      <c r="S3" s="201"/>
      <c r="T3" s="201"/>
      <c r="U3" s="201"/>
      <c r="V3" s="201"/>
      <c r="W3" s="201"/>
      <c r="X3" s="201"/>
      <c r="Y3" s="201"/>
      <c r="Z3" s="201" t="s">
        <v>43</v>
      </c>
      <c r="AA3" s="201"/>
      <c r="AB3" s="201"/>
      <c r="AC3" s="141" t="s">
        <v>56</v>
      </c>
    </row>
    <row r="4" spans="1:43" s="20" customFormat="1" ht="15.75" customHeight="1" x14ac:dyDescent="0.2">
      <c r="A4" s="94" t="s">
        <v>45</v>
      </c>
      <c r="B4" s="95" t="s">
        <v>2</v>
      </c>
      <c r="C4" s="95" t="s">
        <v>3</v>
      </c>
      <c r="D4" s="96" t="s">
        <v>97</v>
      </c>
      <c r="E4" s="97" t="s">
        <v>92</v>
      </c>
      <c r="F4" s="98" t="s">
        <v>93</v>
      </c>
      <c r="G4" s="98" t="s">
        <v>94</v>
      </c>
      <c r="H4" s="98" t="s">
        <v>95</v>
      </c>
      <c r="I4" s="98" t="s">
        <v>96</v>
      </c>
      <c r="J4" s="99" t="s">
        <v>46</v>
      </c>
      <c r="K4" s="100" t="s">
        <v>41</v>
      </c>
      <c r="L4" s="12"/>
      <c r="M4" s="59" t="s">
        <v>3</v>
      </c>
      <c r="N4" s="90" t="s">
        <v>21</v>
      </c>
      <c r="O4" s="90" t="s">
        <v>97</v>
      </c>
      <c r="P4" s="90" t="s">
        <v>92</v>
      </c>
      <c r="Q4" s="90" t="s">
        <v>93</v>
      </c>
      <c r="R4" s="90" t="s">
        <v>94</v>
      </c>
      <c r="S4" s="90" t="s">
        <v>95</v>
      </c>
      <c r="T4" s="90" t="s">
        <v>96</v>
      </c>
      <c r="U4" s="90" t="s">
        <v>48</v>
      </c>
      <c r="V4" s="90" t="s">
        <v>49</v>
      </c>
      <c r="W4" s="90" t="s">
        <v>4</v>
      </c>
      <c r="X4" s="90" t="s">
        <v>38</v>
      </c>
      <c r="Y4" s="90" t="s">
        <v>42</v>
      </c>
      <c r="Z4" s="75" t="s">
        <v>48</v>
      </c>
      <c r="AA4" s="75" t="s">
        <v>81</v>
      </c>
      <c r="AB4" s="75" t="s">
        <v>44</v>
      </c>
      <c r="AC4" s="60" t="s">
        <v>14</v>
      </c>
      <c r="AF4" s="149"/>
      <c r="AG4" s="149"/>
      <c r="AH4" s="149"/>
    </row>
    <row r="5" spans="1:43" s="31" customFormat="1" ht="15.75" customHeight="1" x14ac:dyDescent="0.2">
      <c r="A5" s="32" t="s">
        <v>12</v>
      </c>
      <c r="B5" s="101"/>
      <c r="C5" s="101"/>
      <c r="D5" s="91"/>
      <c r="E5" s="91"/>
      <c r="F5" s="91"/>
      <c r="G5" s="91"/>
      <c r="H5" s="91"/>
      <c r="I5" s="91"/>
      <c r="J5" s="91"/>
      <c r="K5" s="93"/>
      <c r="L5" s="29"/>
      <c r="M5" s="132"/>
      <c r="N5" s="133"/>
      <c r="O5" s="133"/>
      <c r="P5" s="91"/>
      <c r="Q5" s="91"/>
      <c r="R5" s="91"/>
      <c r="S5" s="91"/>
      <c r="T5" s="91"/>
      <c r="U5" s="91"/>
      <c r="V5" s="91"/>
      <c r="W5" s="91"/>
      <c r="X5" s="91"/>
      <c r="Y5" s="91"/>
      <c r="Z5" s="93"/>
      <c r="AA5" s="93"/>
      <c r="AB5" s="93"/>
      <c r="AC5" s="30"/>
      <c r="AF5" s="150"/>
      <c r="AG5" s="150"/>
      <c r="AH5" s="150"/>
    </row>
    <row r="6" spans="1:43" s="20" customFormat="1" ht="15.75" customHeight="1" outlineLevel="1" x14ac:dyDescent="0.2">
      <c r="A6" s="102" t="s">
        <v>5</v>
      </c>
      <c r="B6" s="21">
        <f>[1]Activités!$B$7</f>
        <v>46153</v>
      </c>
      <c r="C6" s="21">
        <f>MAX(C7:C9)</f>
        <v>46184</v>
      </c>
      <c r="D6" s="103" t="s">
        <v>22</v>
      </c>
      <c r="E6" s="104">
        <f t="shared" ref="E6:Y6" si="0">SUM(E7:E9)</f>
        <v>8</v>
      </c>
      <c r="F6" s="104">
        <f t="shared" si="0"/>
        <v>4</v>
      </c>
      <c r="G6" s="104">
        <f t="shared" si="0"/>
        <v>7</v>
      </c>
      <c r="H6" s="104">
        <f t="shared" si="0"/>
        <v>7</v>
      </c>
      <c r="I6" s="104">
        <f t="shared" si="0"/>
        <v>6</v>
      </c>
      <c r="J6" s="104">
        <f t="shared" si="0"/>
        <v>32</v>
      </c>
      <c r="K6" s="74">
        <f>tarif*J6</f>
        <v>3520</v>
      </c>
      <c r="L6" s="13"/>
      <c r="M6" s="21"/>
      <c r="N6" s="134">
        <f>N7+N9</f>
        <v>0</v>
      </c>
      <c r="O6" s="103" t="s">
        <v>22</v>
      </c>
      <c r="P6" s="122">
        <f t="shared" si="0"/>
        <v>8</v>
      </c>
      <c r="Q6" s="122">
        <f t="shared" si="0"/>
        <v>4</v>
      </c>
      <c r="R6" s="122">
        <f t="shared" si="0"/>
        <v>7</v>
      </c>
      <c r="S6" s="122">
        <f t="shared" si="0"/>
        <v>7</v>
      </c>
      <c r="T6" s="122">
        <f t="shared" si="0"/>
        <v>6</v>
      </c>
      <c r="U6" s="122">
        <f t="shared" si="0"/>
        <v>32</v>
      </c>
      <c r="V6" s="122">
        <f t="shared" si="0"/>
        <v>0</v>
      </c>
      <c r="W6" s="122">
        <f t="shared" si="0"/>
        <v>32</v>
      </c>
      <c r="X6" s="135" t="s">
        <v>54</v>
      </c>
      <c r="Y6" s="122">
        <f t="shared" si="0"/>
        <v>0</v>
      </c>
      <c r="Z6" s="74">
        <f>tarif*U6</f>
        <v>3520</v>
      </c>
      <c r="AA6" s="74">
        <f t="shared" ref="AA6:AA11" si="1">tarif*W6</f>
        <v>3520</v>
      </c>
      <c r="AB6" s="74">
        <f>AA6-K6</f>
        <v>0</v>
      </c>
      <c r="AC6" s="194"/>
      <c r="AE6" s="20" t="s">
        <v>72</v>
      </c>
      <c r="AF6" s="149"/>
      <c r="AG6" s="149"/>
      <c r="AH6" s="149"/>
    </row>
    <row r="7" spans="1:43" s="19" customFormat="1" ht="15.75" customHeight="1" outlineLevel="2" x14ac:dyDescent="0.2">
      <c r="A7" s="105" t="s">
        <v>55</v>
      </c>
      <c r="B7" s="208">
        <v>46153</v>
      </c>
      <c r="C7" s="208">
        <v>46167</v>
      </c>
      <c r="D7" s="209" t="s">
        <v>22</v>
      </c>
      <c r="E7" s="210">
        <v>3</v>
      </c>
      <c r="F7" s="210">
        <v>2</v>
      </c>
      <c r="G7" s="210">
        <v>3</v>
      </c>
      <c r="H7" s="210">
        <v>3</v>
      </c>
      <c r="I7" s="210">
        <v>1</v>
      </c>
      <c r="J7" s="108">
        <f t="shared" ref="J7:J10" si="2">SUM(E7:I7)</f>
        <v>12</v>
      </c>
      <c r="K7" s="109">
        <f t="shared" ref="K7:K11" si="3">tarif*J7</f>
        <v>1320</v>
      </c>
      <c r="L7" s="13"/>
      <c r="M7" s="59">
        <v>46167</v>
      </c>
      <c r="N7" s="136">
        <f>M7-C7</f>
        <v>0</v>
      </c>
      <c r="O7" s="107" t="s">
        <v>22</v>
      </c>
      <c r="P7" s="226">
        <v>3</v>
      </c>
      <c r="Q7" s="226">
        <v>2</v>
      </c>
      <c r="R7" s="226">
        <v>3</v>
      </c>
      <c r="S7" s="226">
        <v>3</v>
      </c>
      <c r="T7" s="226">
        <v>1</v>
      </c>
      <c r="U7" s="137">
        <f t="shared" ref="U7:U10" si="4">SUM(P7:T7)</f>
        <v>12</v>
      </c>
      <c r="V7" s="131">
        <f>J7-U7</f>
        <v>0</v>
      </c>
      <c r="W7" s="137">
        <f>U7+V7</f>
        <v>12</v>
      </c>
      <c r="X7" s="131" t="s">
        <v>54</v>
      </c>
      <c r="Y7" s="137">
        <f>(W7-J7)</f>
        <v>0</v>
      </c>
      <c r="Z7" s="109">
        <f>tarif*U7</f>
        <v>1320</v>
      </c>
      <c r="AA7" s="109">
        <f t="shared" si="1"/>
        <v>1320</v>
      </c>
      <c r="AB7" s="109">
        <f t="shared" ref="AB7:AB10" si="5">AA7-K7</f>
        <v>0</v>
      </c>
      <c r="AC7" s="194"/>
      <c r="AF7" s="55"/>
      <c r="AG7" s="55"/>
      <c r="AH7" s="55"/>
    </row>
    <row r="8" spans="1:43" s="19" customFormat="1" ht="15.75" customHeight="1" outlineLevel="2" x14ac:dyDescent="0.2">
      <c r="A8" s="105" t="s">
        <v>6</v>
      </c>
      <c r="B8" s="208">
        <v>46160</v>
      </c>
      <c r="C8" s="208">
        <v>46174</v>
      </c>
      <c r="D8" s="209" t="s">
        <v>22</v>
      </c>
      <c r="E8" s="210">
        <v>1</v>
      </c>
      <c r="F8" s="210">
        <v>1</v>
      </c>
      <c r="G8" s="210">
        <v>1</v>
      </c>
      <c r="H8" s="210">
        <v>1</v>
      </c>
      <c r="I8" s="210">
        <v>4</v>
      </c>
      <c r="J8" s="108">
        <f t="shared" ref="J8" si="6">SUM(E8:I8)</f>
        <v>8</v>
      </c>
      <c r="K8" s="109">
        <f t="shared" si="3"/>
        <v>880</v>
      </c>
      <c r="L8" s="13"/>
      <c r="M8" s="59">
        <v>46174</v>
      </c>
      <c r="N8" s="136">
        <f>M8-C8</f>
        <v>0</v>
      </c>
      <c r="O8" s="107" t="s">
        <v>22</v>
      </c>
      <c r="P8" s="226">
        <v>1</v>
      </c>
      <c r="Q8" s="226">
        <v>1</v>
      </c>
      <c r="R8" s="226">
        <v>1</v>
      </c>
      <c r="S8" s="226">
        <v>1</v>
      </c>
      <c r="T8" s="226">
        <v>4</v>
      </c>
      <c r="U8" s="137">
        <f t="shared" ref="U8" si="7">SUM(P8:T8)</f>
        <v>8</v>
      </c>
      <c r="V8" s="131">
        <f t="shared" ref="V8:V10" si="8">J8-U8</f>
        <v>0</v>
      </c>
      <c r="W8" s="137">
        <f>U8+V8</f>
        <v>8</v>
      </c>
      <c r="X8" s="131" t="s">
        <v>54</v>
      </c>
      <c r="Y8" s="137">
        <f t="shared" ref="Y8:Y9" si="9">(W8-J8)</f>
        <v>0</v>
      </c>
      <c r="Z8" s="109">
        <f>tarif*W8</f>
        <v>880</v>
      </c>
      <c r="AA8" s="109">
        <f t="shared" si="1"/>
        <v>880</v>
      </c>
      <c r="AB8" s="109">
        <f t="shared" si="5"/>
        <v>0</v>
      </c>
      <c r="AC8" s="194"/>
      <c r="AE8" s="152" t="s">
        <v>71</v>
      </c>
      <c r="AF8" s="153" t="s">
        <v>78</v>
      </c>
      <c r="AG8" s="153" t="s">
        <v>79</v>
      </c>
      <c r="AH8" s="153" t="s">
        <v>80</v>
      </c>
      <c r="AI8" s="19" t="s">
        <v>82</v>
      </c>
    </row>
    <row r="9" spans="1:43" s="19" customFormat="1" ht="15.75" customHeight="1" outlineLevel="2" x14ac:dyDescent="0.2">
      <c r="A9" s="105" t="s">
        <v>13</v>
      </c>
      <c r="B9" s="208">
        <v>46167</v>
      </c>
      <c r="C9" s="208">
        <v>46184</v>
      </c>
      <c r="D9" s="209" t="s">
        <v>22</v>
      </c>
      <c r="E9" s="210">
        <v>4</v>
      </c>
      <c r="F9" s="210">
        <v>1</v>
      </c>
      <c r="G9" s="210">
        <v>3</v>
      </c>
      <c r="H9" s="210">
        <v>3</v>
      </c>
      <c r="I9" s="210">
        <v>1</v>
      </c>
      <c r="J9" s="108">
        <f t="shared" si="2"/>
        <v>12</v>
      </c>
      <c r="K9" s="109">
        <f t="shared" si="3"/>
        <v>1320</v>
      </c>
      <c r="L9" s="13"/>
      <c r="M9" s="59">
        <v>46184</v>
      </c>
      <c r="N9" s="136">
        <f>M9-C9</f>
        <v>0</v>
      </c>
      <c r="O9" s="107" t="s">
        <v>22</v>
      </c>
      <c r="P9" s="226">
        <v>4</v>
      </c>
      <c r="Q9" s="226">
        <v>1</v>
      </c>
      <c r="R9" s="226">
        <v>3</v>
      </c>
      <c r="S9" s="226">
        <v>3</v>
      </c>
      <c r="T9" s="226">
        <v>1</v>
      </c>
      <c r="U9" s="137">
        <f t="shared" si="4"/>
        <v>12</v>
      </c>
      <c r="V9" s="131">
        <f t="shared" si="8"/>
        <v>0</v>
      </c>
      <c r="W9" s="137">
        <f>U9+V9</f>
        <v>12</v>
      </c>
      <c r="X9" s="131" t="s">
        <v>54</v>
      </c>
      <c r="Y9" s="137">
        <f t="shared" si="9"/>
        <v>0</v>
      </c>
      <c r="Z9" s="109">
        <f>tarif*W9</f>
        <v>1320</v>
      </c>
      <c r="AA9" s="109">
        <f t="shared" si="1"/>
        <v>1320</v>
      </c>
      <c r="AB9" s="109">
        <f t="shared" si="5"/>
        <v>0</v>
      </c>
      <c r="AC9" s="194"/>
      <c r="AE9" s="152" t="s">
        <v>73</v>
      </c>
      <c r="AF9" s="154">
        <f>U11</f>
        <v>38</v>
      </c>
      <c r="AG9" s="161">
        <f>Z11</f>
        <v>4180</v>
      </c>
      <c r="AH9" s="153">
        <v>1</v>
      </c>
      <c r="AI9" s="19" t="s">
        <v>86</v>
      </c>
    </row>
    <row r="10" spans="1:43" s="19" customFormat="1" ht="15.75" customHeight="1" outlineLevel="1" x14ac:dyDescent="0.2">
      <c r="A10" s="110" t="s">
        <v>7</v>
      </c>
      <c r="B10" s="208">
        <v>46153</v>
      </c>
      <c r="C10" s="208">
        <v>46184</v>
      </c>
      <c r="D10" s="209" t="s">
        <v>22</v>
      </c>
      <c r="E10" s="210">
        <v>1</v>
      </c>
      <c r="F10" s="210">
        <v>2</v>
      </c>
      <c r="G10" s="210">
        <v>1</v>
      </c>
      <c r="H10" s="210">
        <v>1</v>
      </c>
      <c r="I10" s="210">
        <v>1</v>
      </c>
      <c r="J10" s="108">
        <f t="shared" si="2"/>
        <v>6</v>
      </c>
      <c r="K10" s="109">
        <f t="shared" si="3"/>
        <v>660</v>
      </c>
      <c r="L10" s="13"/>
      <c r="M10" s="59">
        <v>46184</v>
      </c>
      <c r="N10" s="136">
        <f>M10-C10</f>
        <v>0</v>
      </c>
      <c r="O10" s="107" t="s">
        <v>22</v>
      </c>
      <c r="P10" s="226">
        <v>1</v>
      </c>
      <c r="Q10" s="226">
        <v>2</v>
      </c>
      <c r="R10" s="226">
        <v>1</v>
      </c>
      <c r="S10" s="226">
        <v>1</v>
      </c>
      <c r="T10" s="226">
        <v>1</v>
      </c>
      <c r="U10" s="137">
        <f t="shared" si="4"/>
        <v>6</v>
      </c>
      <c r="V10" s="131">
        <f t="shared" si="8"/>
        <v>0</v>
      </c>
      <c r="W10" s="137">
        <f>U10+V10</f>
        <v>6</v>
      </c>
      <c r="X10" s="131" t="s">
        <v>54</v>
      </c>
      <c r="Y10" s="137">
        <f>(W10-J10)</f>
        <v>0</v>
      </c>
      <c r="Z10" s="109">
        <f>tarif*W10</f>
        <v>660</v>
      </c>
      <c r="AA10" s="109">
        <f t="shared" si="1"/>
        <v>660</v>
      </c>
      <c r="AB10" s="109">
        <f t="shared" si="5"/>
        <v>0</v>
      </c>
      <c r="AC10" s="194"/>
      <c r="AE10" s="152" t="s">
        <v>74</v>
      </c>
      <c r="AF10" s="154">
        <f>U17</f>
        <v>30</v>
      </c>
      <c r="AG10" s="161">
        <f>Z17</f>
        <v>3300</v>
      </c>
      <c r="AH10" s="153">
        <v>1</v>
      </c>
    </row>
    <row r="11" spans="1:43" s="38" customFormat="1" ht="15.75" customHeight="1" x14ac:dyDescent="0.2">
      <c r="A11" s="32" t="s">
        <v>18</v>
      </c>
      <c r="B11" s="33">
        <f>MIN(B6:B10)</f>
        <v>46153</v>
      </c>
      <c r="C11" s="33">
        <f>MAX(C6:C10)</f>
        <v>46184</v>
      </c>
      <c r="D11" s="34" t="s">
        <v>23</v>
      </c>
      <c r="E11" s="83">
        <f t="shared" ref="E11:J11" si="10">E6+E10</f>
        <v>9</v>
      </c>
      <c r="F11" s="83">
        <f t="shared" si="10"/>
        <v>6</v>
      </c>
      <c r="G11" s="83">
        <f t="shared" si="10"/>
        <v>8</v>
      </c>
      <c r="H11" s="83">
        <f t="shared" si="10"/>
        <v>8</v>
      </c>
      <c r="I11" s="83">
        <f t="shared" si="10"/>
        <v>7</v>
      </c>
      <c r="J11" s="83">
        <f t="shared" si="10"/>
        <v>38</v>
      </c>
      <c r="K11" s="67">
        <f t="shared" si="3"/>
        <v>4180</v>
      </c>
      <c r="L11" s="36"/>
      <c r="M11" s="33">
        <f>MAX(M6:M10)</f>
        <v>46184</v>
      </c>
      <c r="N11" s="35">
        <f>M11-C11</f>
        <v>0</v>
      </c>
      <c r="O11" s="34" t="s">
        <v>23</v>
      </c>
      <c r="P11" s="35">
        <f t="shared" ref="P11:U11" si="11">P6+P10</f>
        <v>9</v>
      </c>
      <c r="Q11" s="35">
        <f t="shared" si="11"/>
        <v>6</v>
      </c>
      <c r="R11" s="35">
        <f t="shared" si="11"/>
        <v>8</v>
      </c>
      <c r="S11" s="35">
        <f t="shared" si="11"/>
        <v>8</v>
      </c>
      <c r="T11" s="35">
        <f t="shared" si="11"/>
        <v>7</v>
      </c>
      <c r="U11" s="35">
        <f t="shared" si="11"/>
        <v>38</v>
      </c>
      <c r="V11" s="35">
        <f t="shared" ref="V11:W11" si="12">V6+V10</f>
        <v>0</v>
      </c>
      <c r="W11" s="35">
        <f t="shared" si="12"/>
        <v>38</v>
      </c>
      <c r="X11" s="35"/>
      <c r="Y11" s="35">
        <f>Y6+Y10</f>
        <v>0</v>
      </c>
      <c r="Z11" s="67">
        <f>tarif*U11</f>
        <v>4180</v>
      </c>
      <c r="AA11" s="67">
        <f t="shared" si="1"/>
        <v>4180</v>
      </c>
      <c r="AB11" s="67">
        <f t="shared" ref="AB11" si="13">Z11-K11</f>
        <v>0</v>
      </c>
      <c r="AC11" s="195"/>
      <c r="AD11" s="37"/>
      <c r="AE11" s="155" t="s">
        <v>75</v>
      </c>
      <c r="AF11" s="156">
        <f>U37</f>
        <v>0</v>
      </c>
      <c r="AG11" s="162">
        <f>Z37</f>
        <v>0</v>
      </c>
      <c r="AH11" s="157">
        <v>9</v>
      </c>
      <c r="AI11" s="147"/>
      <c r="AJ11" s="37"/>
      <c r="AK11" s="37"/>
      <c r="AL11" s="37"/>
      <c r="AM11" s="37"/>
      <c r="AN11" s="37"/>
      <c r="AO11" s="37"/>
      <c r="AP11" s="37"/>
      <c r="AQ11" s="37"/>
    </row>
    <row r="12" spans="1:43" s="31" customFormat="1" ht="15.75" customHeight="1" x14ac:dyDescent="0.2">
      <c r="A12" s="111" t="s">
        <v>19</v>
      </c>
      <c r="B12" s="112"/>
      <c r="C12" s="112"/>
      <c r="D12" s="113"/>
      <c r="E12" s="114"/>
      <c r="F12" s="114"/>
      <c r="G12" s="114"/>
      <c r="H12" s="114"/>
      <c r="I12" s="114"/>
      <c r="J12" s="114"/>
      <c r="K12" s="68"/>
      <c r="L12" s="29"/>
      <c r="M12" s="202"/>
      <c r="N12" s="202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68"/>
      <c r="AA12" s="68"/>
      <c r="AB12" s="68"/>
      <c r="AC12" s="39"/>
      <c r="AE12" s="158" t="s">
        <v>76</v>
      </c>
      <c r="AF12" s="159">
        <f>U43</f>
        <v>0</v>
      </c>
      <c r="AG12" s="163">
        <f>Z43</f>
        <v>0</v>
      </c>
      <c r="AH12" s="160">
        <v>1</v>
      </c>
    </row>
    <row r="13" spans="1:43" s="19" customFormat="1" ht="15.75" customHeight="1" outlineLevel="1" x14ac:dyDescent="0.2">
      <c r="A13" s="115" t="s">
        <v>8</v>
      </c>
      <c r="B13" s="211">
        <v>46181</v>
      </c>
      <c r="C13" s="211">
        <v>46188</v>
      </c>
      <c r="D13" s="213" t="s">
        <v>22</v>
      </c>
      <c r="E13" s="212">
        <v>1</v>
      </c>
      <c r="F13" s="212">
        <v>1</v>
      </c>
      <c r="G13" s="212">
        <v>1</v>
      </c>
      <c r="H13" s="212">
        <v>4</v>
      </c>
      <c r="I13" s="214">
        <v>1</v>
      </c>
      <c r="J13" s="108">
        <f t="shared" ref="J13:J16" si="14">SUM(E13:I13)</f>
        <v>8</v>
      </c>
      <c r="K13" s="109">
        <f t="shared" ref="K13:K17" si="15">tarif*J13</f>
        <v>880</v>
      </c>
      <c r="L13" s="9"/>
      <c r="M13" s="106">
        <v>46188</v>
      </c>
      <c r="N13" s="136">
        <f t="shared" ref="N13:N16" si="16">M13-C13</f>
        <v>0</v>
      </c>
      <c r="O13" s="116" t="s">
        <v>22</v>
      </c>
      <c r="P13" s="227">
        <v>1</v>
      </c>
      <c r="Q13" s="227">
        <v>1</v>
      </c>
      <c r="R13" s="227">
        <v>1</v>
      </c>
      <c r="S13" s="227">
        <v>4</v>
      </c>
      <c r="T13" s="228">
        <v>1</v>
      </c>
      <c r="U13" s="137">
        <f t="shared" ref="U13:U16" si="17">SUM(P13:T13)</f>
        <v>8</v>
      </c>
      <c r="V13" s="131">
        <f>J13-U13</f>
        <v>0</v>
      </c>
      <c r="W13" s="137">
        <f>U13+V13</f>
        <v>8</v>
      </c>
      <c r="X13" s="131" t="s">
        <v>54</v>
      </c>
      <c r="Y13" s="137">
        <f t="shared" ref="Y13:Y16" si="18">(W13-J13)</f>
        <v>0</v>
      </c>
      <c r="Z13" s="109">
        <f t="shared" ref="Z13:Z17" si="19">tarif*U13</f>
        <v>880</v>
      </c>
      <c r="AA13" s="109">
        <f>tarif*W13</f>
        <v>880</v>
      </c>
      <c r="AB13" s="109">
        <f t="shared" ref="AB13:AB17" si="20">Z13-K13</f>
        <v>0</v>
      </c>
      <c r="AC13" s="196"/>
      <c r="AE13" s="167" t="s">
        <v>77</v>
      </c>
      <c r="AF13" s="168">
        <f>U45</f>
        <v>68</v>
      </c>
      <c r="AG13" s="169">
        <f>Z45</f>
        <v>7480</v>
      </c>
      <c r="AH13" s="170">
        <v>2</v>
      </c>
    </row>
    <row r="14" spans="1:43" s="19" customFormat="1" ht="15.75" customHeight="1" outlineLevel="1" x14ac:dyDescent="0.2">
      <c r="A14" s="115" t="s">
        <v>9</v>
      </c>
      <c r="B14" s="211">
        <v>46181</v>
      </c>
      <c r="C14" s="211">
        <v>46188</v>
      </c>
      <c r="D14" s="213" t="s">
        <v>22</v>
      </c>
      <c r="E14" s="212">
        <v>1</v>
      </c>
      <c r="F14" s="212">
        <v>1</v>
      </c>
      <c r="G14" s="212">
        <v>1</v>
      </c>
      <c r="H14" s="214">
        <v>1</v>
      </c>
      <c r="I14" s="212">
        <v>4</v>
      </c>
      <c r="J14" s="108">
        <f t="shared" si="14"/>
        <v>8</v>
      </c>
      <c r="K14" s="109">
        <f t="shared" si="15"/>
        <v>880</v>
      </c>
      <c r="L14" s="9"/>
      <c r="M14" s="106">
        <v>46188</v>
      </c>
      <c r="N14" s="136">
        <f t="shared" si="16"/>
        <v>0</v>
      </c>
      <c r="O14" s="116" t="s">
        <v>22</v>
      </c>
      <c r="P14" s="227">
        <v>1</v>
      </c>
      <c r="Q14" s="227">
        <v>1</v>
      </c>
      <c r="R14" s="228">
        <v>1</v>
      </c>
      <c r="S14" s="228">
        <v>1</v>
      </c>
      <c r="T14" s="227">
        <v>4</v>
      </c>
      <c r="U14" s="137">
        <f t="shared" si="17"/>
        <v>8</v>
      </c>
      <c r="V14" s="131">
        <f t="shared" ref="V14:V16" si="21">J14-U14</f>
        <v>0</v>
      </c>
      <c r="W14" s="137">
        <f>U14+V14</f>
        <v>8</v>
      </c>
      <c r="X14" s="131" t="s">
        <v>54</v>
      </c>
      <c r="Y14" s="137">
        <f t="shared" si="18"/>
        <v>0</v>
      </c>
      <c r="Z14" s="109">
        <f t="shared" si="19"/>
        <v>880</v>
      </c>
      <c r="AA14" s="109">
        <f t="shared" ref="AA13:AA17" si="22">tarif*W14</f>
        <v>880</v>
      </c>
      <c r="AB14" s="109">
        <f t="shared" si="20"/>
        <v>0</v>
      </c>
      <c r="AC14" s="194"/>
      <c r="AE14" s="152" t="s">
        <v>49</v>
      </c>
      <c r="AF14" s="154">
        <f>V45</f>
        <v>270</v>
      </c>
      <c r="AG14" s="161">
        <f>V45*tarif</f>
        <v>29700</v>
      </c>
      <c r="AH14" s="153">
        <v>7</v>
      </c>
      <c r="AI14" s="165"/>
    </row>
    <row r="15" spans="1:43" s="19" customFormat="1" ht="15.75" customHeight="1" outlineLevel="1" x14ac:dyDescent="0.2">
      <c r="A15" s="115" t="s">
        <v>10</v>
      </c>
      <c r="B15" s="211">
        <v>46181</v>
      </c>
      <c r="C15" s="211">
        <v>46188</v>
      </c>
      <c r="D15" s="213" t="s">
        <v>22</v>
      </c>
      <c r="E15" s="214">
        <v>4</v>
      </c>
      <c r="F15" s="214">
        <v>1</v>
      </c>
      <c r="G15" s="212">
        <v>1</v>
      </c>
      <c r="H15" s="212">
        <v>1</v>
      </c>
      <c r="I15" s="212">
        <v>1</v>
      </c>
      <c r="J15" s="108">
        <f t="shared" si="14"/>
        <v>8</v>
      </c>
      <c r="K15" s="109">
        <f t="shared" si="15"/>
        <v>880</v>
      </c>
      <c r="L15" s="9"/>
      <c r="M15" s="106">
        <v>46188</v>
      </c>
      <c r="N15" s="136">
        <f t="shared" si="16"/>
        <v>0</v>
      </c>
      <c r="O15" s="116" t="s">
        <v>22</v>
      </c>
      <c r="P15" s="228">
        <v>4</v>
      </c>
      <c r="Q15" s="227">
        <v>1</v>
      </c>
      <c r="R15" s="227">
        <v>1</v>
      </c>
      <c r="S15" s="227">
        <v>1</v>
      </c>
      <c r="T15" s="227">
        <v>1</v>
      </c>
      <c r="U15" s="137">
        <f t="shared" si="17"/>
        <v>8</v>
      </c>
      <c r="V15" s="131">
        <f t="shared" si="21"/>
        <v>0</v>
      </c>
      <c r="W15" s="137">
        <f>U15+V15</f>
        <v>8</v>
      </c>
      <c r="X15" s="131" t="s">
        <v>54</v>
      </c>
      <c r="Y15" s="137">
        <f t="shared" si="18"/>
        <v>0</v>
      </c>
      <c r="Z15" s="109">
        <f t="shared" si="19"/>
        <v>880</v>
      </c>
      <c r="AA15" s="109">
        <f t="shared" si="22"/>
        <v>880</v>
      </c>
      <c r="AB15" s="109">
        <f t="shared" si="20"/>
        <v>0</v>
      </c>
      <c r="AC15" s="194"/>
      <c r="AE15" s="171" t="s">
        <v>83</v>
      </c>
      <c r="AF15" s="172">
        <f>AF13+AF14</f>
        <v>338</v>
      </c>
      <c r="AG15" s="173">
        <f>AG13+AG14</f>
        <v>37180</v>
      </c>
      <c r="AH15" s="174">
        <f>AH13+AH14</f>
        <v>9</v>
      </c>
      <c r="AI15" s="166"/>
    </row>
    <row r="16" spans="1:43" s="19" customFormat="1" ht="15.75" customHeight="1" outlineLevel="1" x14ac:dyDescent="0.2">
      <c r="A16" s="115" t="s">
        <v>7</v>
      </c>
      <c r="B16" s="211">
        <v>46181</v>
      </c>
      <c r="C16" s="211">
        <v>46188</v>
      </c>
      <c r="D16" s="213" t="s">
        <v>22</v>
      </c>
      <c r="E16" s="212">
        <v>1</v>
      </c>
      <c r="F16" s="212">
        <v>2</v>
      </c>
      <c r="G16" s="212">
        <v>1</v>
      </c>
      <c r="H16" s="212">
        <v>1</v>
      </c>
      <c r="I16" s="212">
        <v>1</v>
      </c>
      <c r="J16" s="108">
        <f t="shared" si="14"/>
        <v>6</v>
      </c>
      <c r="K16" s="109">
        <f t="shared" si="15"/>
        <v>660</v>
      </c>
      <c r="L16" s="9"/>
      <c r="M16" s="106">
        <v>46188</v>
      </c>
      <c r="N16" s="136">
        <f t="shared" si="16"/>
        <v>0</v>
      </c>
      <c r="O16" s="116" t="s">
        <v>22</v>
      </c>
      <c r="P16" s="227">
        <v>1</v>
      </c>
      <c r="Q16" s="227">
        <v>2</v>
      </c>
      <c r="R16" s="227">
        <v>1</v>
      </c>
      <c r="S16" s="227">
        <v>1</v>
      </c>
      <c r="T16" s="227">
        <v>1</v>
      </c>
      <c r="U16" s="137">
        <f t="shared" si="17"/>
        <v>6</v>
      </c>
      <c r="V16" s="131">
        <f t="shared" si="21"/>
        <v>0</v>
      </c>
      <c r="W16" s="137">
        <f>U16+V16</f>
        <v>6</v>
      </c>
      <c r="X16" s="131" t="s">
        <v>54</v>
      </c>
      <c r="Y16" s="137">
        <f t="shared" si="18"/>
        <v>0</v>
      </c>
      <c r="Z16" s="109">
        <f t="shared" si="19"/>
        <v>660</v>
      </c>
      <c r="AA16" s="109">
        <f t="shared" si="22"/>
        <v>660</v>
      </c>
      <c r="AB16" s="109">
        <f t="shared" si="20"/>
        <v>0</v>
      </c>
      <c r="AC16" s="194"/>
      <c r="AE16" s="175" t="s">
        <v>84</v>
      </c>
      <c r="AF16" s="176">
        <f>J45</f>
        <v>338</v>
      </c>
      <c r="AG16" s="177">
        <f>K45</f>
        <v>37180</v>
      </c>
      <c r="AH16" s="178">
        <v>9</v>
      </c>
    </row>
    <row r="17" spans="1:43" s="38" customFormat="1" ht="15.75" customHeight="1" x14ac:dyDescent="0.2">
      <c r="A17" s="40" t="s">
        <v>20</v>
      </c>
      <c r="B17" s="41">
        <f>MIN(B13:B16)</f>
        <v>46181</v>
      </c>
      <c r="C17" s="41">
        <f>MAX(C13:C16)</f>
        <v>46188</v>
      </c>
      <c r="D17" s="42" t="s">
        <v>23</v>
      </c>
      <c r="E17" s="84">
        <f t="shared" ref="E17:J17" si="23">SUM(E13:E16)</f>
        <v>7</v>
      </c>
      <c r="F17" s="84">
        <f t="shared" si="23"/>
        <v>5</v>
      </c>
      <c r="G17" s="84">
        <f t="shared" si="23"/>
        <v>4</v>
      </c>
      <c r="H17" s="84">
        <f t="shared" si="23"/>
        <v>7</v>
      </c>
      <c r="I17" s="84">
        <f t="shared" si="23"/>
        <v>7</v>
      </c>
      <c r="J17" s="84">
        <f t="shared" si="23"/>
        <v>30</v>
      </c>
      <c r="K17" s="69">
        <f t="shared" si="15"/>
        <v>3300</v>
      </c>
      <c r="L17" s="36"/>
      <c r="M17" s="41">
        <f>MAX(M13:M16)</f>
        <v>46188</v>
      </c>
      <c r="N17" s="43">
        <f>M17-C17</f>
        <v>0</v>
      </c>
      <c r="O17" s="42" t="s">
        <v>23</v>
      </c>
      <c r="P17" s="43">
        <f t="shared" ref="P17:W17" si="24">SUM(P13:P16)</f>
        <v>7</v>
      </c>
      <c r="Q17" s="43">
        <f t="shared" si="24"/>
        <v>5</v>
      </c>
      <c r="R17" s="43">
        <f t="shared" si="24"/>
        <v>4</v>
      </c>
      <c r="S17" s="43">
        <f t="shared" si="24"/>
        <v>7</v>
      </c>
      <c r="T17" s="43">
        <f t="shared" si="24"/>
        <v>7</v>
      </c>
      <c r="U17" s="43">
        <f t="shared" si="24"/>
        <v>30</v>
      </c>
      <c r="V17" s="43">
        <f t="shared" si="24"/>
        <v>0</v>
      </c>
      <c r="W17" s="43">
        <f t="shared" si="24"/>
        <v>30</v>
      </c>
      <c r="X17" s="43"/>
      <c r="Y17" s="43">
        <f>SUM(Y13:Y16)</f>
        <v>0</v>
      </c>
      <c r="Z17" s="69">
        <f t="shared" si="19"/>
        <v>3300</v>
      </c>
      <c r="AA17" s="69">
        <f t="shared" si="22"/>
        <v>3300</v>
      </c>
      <c r="AB17" s="69">
        <f t="shared" si="20"/>
        <v>0</v>
      </c>
      <c r="AC17" s="195"/>
      <c r="AD17" s="37"/>
      <c r="AE17" s="152" t="s">
        <v>85</v>
      </c>
      <c r="AF17" s="164">
        <f>AF16-AF15</f>
        <v>0</v>
      </c>
      <c r="AG17" s="161">
        <f>AG16-AG15</f>
        <v>0</v>
      </c>
      <c r="AH17" s="153">
        <f>AH16-AH15</f>
        <v>0</v>
      </c>
      <c r="AI17" s="187" t="s">
        <v>88</v>
      </c>
      <c r="AJ17" s="37"/>
      <c r="AK17" s="37"/>
      <c r="AL17" s="37"/>
      <c r="AM17" s="37"/>
      <c r="AN17" s="37"/>
      <c r="AO17" s="37"/>
      <c r="AP17" s="37"/>
      <c r="AQ17" s="37"/>
    </row>
    <row r="18" spans="1:43" s="31" customFormat="1" ht="15.75" customHeight="1" x14ac:dyDescent="0.2">
      <c r="A18" s="117" t="s">
        <v>24</v>
      </c>
      <c r="B18" s="118"/>
      <c r="C18" s="118"/>
      <c r="D18" s="119"/>
      <c r="E18" s="120"/>
      <c r="F18" s="120"/>
      <c r="G18" s="120"/>
      <c r="H18" s="120"/>
      <c r="I18" s="120"/>
      <c r="J18" s="120"/>
      <c r="K18" s="76"/>
      <c r="L18" s="51"/>
      <c r="M18" s="205"/>
      <c r="N18" s="205"/>
      <c r="O18" s="138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76"/>
      <c r="AA18" s="76"/>
      <c r="AB18" s="76"/>
      <c r="AC18" s="44"/>
      <c r="AE18" s="189" t="s">
        <v>87</v>
      </c>
      <c r="AF18" s="189"/>
      <c r="AG18" s="189"/>
      <c r="AH18" s="189"/>
      <c r="AI18" s="188"/>
    </row>
    <row r="19" spans="1:43" s="19" customFormat="1" ht="15.75" customHeight="1" outlineLevel="1" x14ac:dyDescent="0.2">
      <c r="A19" s="207" t="s">
        <v>99</v>
      </c>
      <c r="B19" s="215">
        <v>46189</v>
      </c>
      <c r="C19" s="218">
        <v>46194</v>
      </c>
      <c r="D19" s="219">
        <v>8</v>
      </c>
      <c r="E19" s="216">
        <v>5</v>
      </c>
      <c r="F19" s="216">
        <v>2</v>
      </c>
      <c r="G19" s="216">
        <v>1</v>
      </c>
      <c r="H19" s="216">
        <v>3</v>
      </c>
      <c r="I19" s="216">
        <v>2</v>
      </c>
      <c r="J19" s="108">
        <f t="shared" ref="J19:J36" si="25">SUM(E19:I19)</f>
        <v>13</v>
      </c>
      <c r="K19" s="109">
        <f t="shared" ref="K19:K37" si="26">tarif*J19</f>
        <v>1430</v>
      </c>
      <c r="L19" s="9"/>
      <c r="M19" s="106"/>
      <c r="N19" s="136">
        <f t="shared" ref="N19:N36" si="27">M19-C19</f>
        <v>-46194</v>
      </c>
      <c r="O19" s="121"/>
      <c r="P19" s="131"/>
      <c r="Q19" s="131"/>
      <c r="R19" s="131"/>
      <c r="S19" s="131"/>
      <c r="T19" s="131"/>
      <c r="U19" s="137">
        <f t="shared" ref="U19:U36" si="28">SUM(P19:T19)</f>
        <v>0</v>
      </c>
      <c r="V19" s="131">
        <f>J19-U19</f>
        <v>13</v>
      </c>
      <c r="W19" s="137">
        <f t="shared" ref="W19:W36" si="29">U19+V19</f>
        <v>13</v>
      </c>
      <c r="X19" s="131" t="s">
        <v>51</v>
      </c>
      <c r="Y19" s="137">
        <f t="shared" ref="Y19:Y36" si="30">(W19-J19)</f>
        <v>0</v>
      </c>
      <c r="Z19" s="109">
        <f t="shared" ref="Z19:Z36" si="31">tarif*U19</f>
        <v>0</v>
      </c>
      <c r="AA19" s="109">
        <f t="shared" ref="AA19:AA37" si="32">tarif*W19</f>
        <v>1430</v>
      </c>
      <c r="AB19" s="139">
        <f t="shared" ref="AB19:AB37" si="33">Z19-K19</f>
        <v>-1430</v>
      </c>
      <c r="AC19" s="6"/>
      <c r="AE19" s="190"/>
      <c r="AF19" s="190"/>
      <c r="AG19" s="190"/>
      <c r="AH19" s="190"/>
      <c r="AI19" s="188"/>
    </row>
    <row r="20" spans="1:43" s="20" customFormat="1" ht="15.75" customHeight="1" outlineLevel="1" x14ac:dyDescent="0.2">
      <c r="A20" s="207" t="s">
        <v>100</v>
      </c>
      <c r="B20" s="215">
        <v>46189</v>
      </c>
      <c r="C20" s="218">
        <v>46194</v>
      </c>
      <c r="D20" s="219">
        <v>5</v>
      </c>
      <c r="E20" s="217">
        <v>2</v>
      </c>
      <c r="F20" s="217">
        <v>2</v>
      </c>
      <c r="G20" s="217">
        <v>1</v>
      </c>
      <c r="H20" s="217">
        <v>2</v>
      </c>
      <c r="I20" s="217">
        <v>5</v>
      </c>
      <c r="J20" s="108">
        <f t="shared" si="25"/>
        <v>12</v>
      </c>
      <c r="K20" s="109">
        <f t="shared" si="26"/>
        <v>1320</v>
      </c>
      <c r="L20" s="9"/>
      <c r="M20" s="106"/>
      <c r="N20" s="136">
        <f t="shared" si="27"/>
        <v>-46194</v>
      </c>
      <c r="O20" s="142"/>
      <c r="P20" s="131"/>
      <c r="Q20" s="131"/>
      <c r="R20" s="131"/>
      <c r="S20" s="131"/>
      <c r="T20" s="131"/>
      <c r="U20" s="137">
        <f t="shared" si="28"/>
        <v>0</v>
      </c>
      <c r="V20" s="131">
        <f t="shared" ref="V20:V36" si="34">J20-U20</f>
        <v>12</v>
      </c>
      <c r="W20" s="137">
        <f t="shared" si="29"/>
        <v>12</v>
      </c>
      <c r="X20" s="131" t="s">
        <v>51</v>
      </c>
      <c r="Y20" s="137">
        <f t="shared" si="30"/>
        <v>0</v>
      </c>
      <c r="Z20" s="109">
        <f t="shared" si="31"/>
        <v>0</v>
      </c>
      <c r="AA20" s="109">
        <f t="shared" si="32"/>
        <v>1320</v>
      </c>
      <c r="AB20" s="139">
        <f t="shared" ref="AB20:AB36" si="35">Z20-K20</f>
        <v>-1320</v>
      </c>
      <c r="AC20" s="6"/>
      <c r="AD20" s="19"/>
      <c r="AE20" s="19"/>
      <c r="AF20" s="55"/>
      <c r="AG20" s="55"/>
      <c r="AH20" s="55"/>
      <c r="AI20" s="188"/>
    </row>
    <row r="21" spans="1:43" s="19" customFormat="1" ht="15.75" customHeight="1" outlineLevel="2" x14ac:dyDescent="0.2">
      <c r="A21" s="207" t="s">
        <v>101</v>
      </c>
      <c r="B21" s="215">
        <v>46189</v>
      </c>
      <c r="C21" s="218">
        <v>46194</v>
      </c>
      <c r="D21" s="219">
        <v>13</v>
      </c>
      <c r="E21" s="216">
        <v>3</v>
      </c>
      <c r="F21" s="216">
        <v>2</v>
      </c>
      <c r="G21" s="216">
        <v>2</v>
      </c>
      <c r="H21" s="216">
        <v>3</v>
      </c>
      <c r="I21" s="216">
        <v>4</v>
      </c>
      <c r="J21" s="108">
        <f t="shared" si="25"/>
        <v>14</v>
      </c>
      <c r="K21" s="109">
        <f t="shared" si="26"/>
        <v>1540</v>
      </c>
      <c r="L21" s="9"/>
      <c r="M21" s="106"/>
      <c r="N21" s="136">
        <f t="shared" si="27"/>
        <v>-46194</v>
      </c>
      <c r="O21" s="142"/>
      <c r="P21" s="131"/>
      <c r="Q21" s="131"/>
      <c r="R21" s="131"/>
      <c r="S21" s="131"/>
      <c r="T21" s="131"/>
      <c r="U21" s="137">
        <f t="shared" si="28"/>
        <v>0</v>
      </c>
      <c r="V21" s="131">
        <f t="shared" si="34"/>
        <v>14</v>
      </c>
      <c r="W21" s="137">
        <f t="shared" si="29"/>
        <v>14</v>
      </c>
      <c r="X21" s="131" t="s">
        <v>51</v>
      </c>
      <c r="Y21" s="137">
        <f t="shared" si="30"/>
        <v>0</v>
      </c>
      <c r="Z21" s="109">
        <f t="shared" si="31"/>
        <v>0</v>
      </c>
      <c r="AA21" s="109">
        <f t="shared" si="32"/>
        <v>1540</v>
      </c>
      <c r="AB21" s="139">
        <f t="shared" si="35"/>
        <v>-1540</v>
      </c>
      <c r="AC21" s="6"/>
      <c r="AF21" s="55"/>
      <c r="AG21" s="55"/>
      <c r="AH21" s="55"/>
      <c r="AI21" s="20"/>
    </row>
    <row r="22" spans="1:43" s="19" customFormat="1" ht="15.75" customHeight="1" outlineLevel="2" x14ac:dyDescent="0.2">
      <c r="A22" s="207" t="s">
        <v>98</v>
      </c>
      <c r="B22" s="215">
        <v>46189</v>
      </c>
      <c r="C22" s="218">
        <v>46194</v>
      </c>
      <c r="D22" s="219">
        <v>8</v>
      </c>
      <c r="E22" s="216">
        <v>2</v>
      </c>
      <c r="F22" s="216">
        <v>2</v>
      </c>
      <c r="G22" s="216">
        <v>2</v>
      </c>
      <c r="H22" s="216">
        <v>2</v>
      </c>
      <c r="I22" s="216">
        <v>5</v>
      </c>
      <c r="J22" s="108">
        <f t="shared" si="25"/>
        <v>13</v>
      </c>
      <c r="K22" s="109">
        <f t="shared" si="26"/>
        <v>1430</v>
      </c>
      <c r="L22" s="9"/>
      <c r="M22" s="106"/>
      <c r="N22" s="136">
        <f t="shared" si="27"/>
        <v>-46194</v>
      </c>
      <c r="O22" s="142"/>
      <c r="P22" s="131"/>
      <c r="Q22" s="131"/>
      <c r="R22" s="131"/>
      <c r="S22" s="131"/>
      <c r="T22" s="131"/>
      <c r="U22" s="137">
        <f t="shared" si="28"/>
        <v>0</v>
      </c>
      <c r="V22" s="131">
        <f t="shared" si="34"/>
        <v>13</v>
      </c>
      <c r="W22" s="137">
        <f t="shared" si="29"/>
        <v>13</v>
      </c>
      <c r="X22" s="131" t="s">
        <v>51</v>
      </c>
      <c r="Y22" s="137">
        <f t="shared" si="30"/>
        <v>0</v>
      </c>
      <c r="Z22" s="109">
        <f t="shared" si="31"/>
        <v>0</v>
      </c>
      <c r="AA22" s="109">
        <f t="shared" si="32"/>
        <v>1430</v>
      </c>
      <c r="AB22" s="139">
        <f t="shared" si="35"/>
        <v>-1430</v>
      </c>
      <c r="AC22" s="6"/>
      <c r="AF22" s="55"/>
      <c r="AG22" s="55"/>
      <c r="AH22" s="55"/>
    </row>
    <row r="23" spans="1:43" s="19" customFormat="1" ht="15.75" customHeight="1" outlineLevel="2" x14ac:dyDescent="0.2">
      <c r="A23" s="207" t="s">
        <v>102</v>
      </c>
      <c r="B23" s="215">
        <v>46195</v>
      </c>
      <c r="C23" s="218">
        <v>46215</v>
      </c>
      <c r="D23" s="219">
        <v>8</v>
      </c>
      <c r="E23" s="216">
        <v>3</v>
      </c>
      <c r="F23" s="216">
        <v>2</v>
      </c>
      <c r="G23" s="216">
        <v>2</v>
      </c>
      <c r="H23" s="216">
        <v>3</v>
      </c>
      <c r="I23" s="216">
        <v>3</v>
      </c>
      <c r="J23" s="108">
        <f t="shared" si="25"/>
        <v>13</v>
      </c>
      <c r="K23" s="109">
        <f t="shared" si="26"/>
        <v>1430</v>
      </c>
      <c r="L23" s="9"/>
      <c r="M23" s="106"/>
      <c r="N23" s="136">
        <f t="shared" si="27"/>
        <v>-46215</v>
      </c>
      <c r="O23" s="142"/>
      <c r="P23" s="131"/>
      <c r="Q23" s="131"/>
      <c r="R23" s="131"/>
      <c r="S23" s="131"/>
      <c r="T23" s="131"/>
      <c r="U23" s="137">
        <f t="shared" si="28"/>
        <v>0</v>
      </c>
      <c r="V23" s="131">
        <f t="shared" si="34"/>
        <v>13</v>
      </c>
      <c r="W23" s="137">
        <f t="shared" si="29"/>
        <v>13</v>
      </c>
      <c r="X23" s="131" t="s">
        <v>51</v>
      </c>
      <c r="Y23" s="137">
        <f t="shared" si="30"/>
        <v>0</v>
      </c>
      <c r="Z23" s="109">
        <f t="shared" si="31"/>
        <v>0</v>
      </c>
      <c r="AA23" s="109">
        <f t="shared" si="32"/>
        <v>1430</v>
      </c>
      <c r="AB23" s="139">
        <f t="shared" si="35"/>
        <v>-1430</v>
      </c>
      <c r="AC23" s="6"/>
      <c r="AF23" s="55"/>
      <c r="AG23" s="55"/>
      <c r="AH23" s="55"/>
    </row>
    <row r="24" spans="1:43" s="20" customFormat="1" ht="15.75" customHeight="1" outlineLevel="1" x14ac:dyDescent="0.2">
      <c r="A24" s="207" t="s">
        <v>103</v>
      </c>
      <c r="B24" s="215">
        <v>46195</v>
      </c>
      <c r="C24" s="218">
        <v>46215</v>
      </c>
      <c r="D24" s="219">
        <v>13</v>
      </c>
      <c r="E24" s="217">
        <v>2</v>
      </c>
      <c r="F24" s="217">
        <v>2</v>
      </c>
      <c r="G24" s="217">
        <v>3</v>
      </c>
      <c r="H24" s="217">
        <v>3</v>
      </c>
      <c r="I24" s="217">
        <v>4</v>
      </c>
      <c r="J24" s="108">
        <f t="shared" si="25"/>
        <v>14</v>
      </c>
      <c r="K24" s="109">
        <f t="shared" si="26"/>
        <v>1540</v>
      </c>
      <c r="L24" s="9"/>
      <c r="M24" s="106"/>
      <c r="N24" s="136">
        <f t="shared" si="27"/>
        <v>-46215</v>
      </c>
      <c r="O24" s="121"/>
      <c r="P24" s="131"/>
      <c r="Q24" s="131"/>
      <c r="R24" s="131"/>
      <c r="S24" s="131"/>
      <c r="T24" s="131"/>
      <c r="U24" s="137">
        <f t="shared" si="28"/>
        <v>0</v>
      </c>
      <c r="V24" s="131">
        <f t="shared" si="34"/>
        <v>14</v>
      </c>
      <c r="W24" s="137">
        <f t="shared" si="29"/>
        <v>14</v>
      </c>
      <c r="X24" s="131" t="s">
        <v>51</v>
      </c>
      <c r="Y24" s="137">
        <f t="shared" si="30"/>
        <v>0</v>
      </c>
      <c r="Z24" s="109">
        <f t="shared" si="31"/>
        <v>0</v>
      </c>
      <c r="AA24" s="109">
        <f t="shared" si="32"/>
        <v>1540</v>
      </c>
      <c r="AB24" s="139">
        <f t="shared" si="35"/>
        <v>-1540</v>
      </c>
      <c r="AC24" s="6"/>
      <c r="AD24" s="19"/>
      <c r="AE24" s="19"/>
      <c r="AF24" s="55"/>
      <c r="AG24" s="55"/>
      <c r="AH24" s="55"/>
      <c r="AI24" s="19"/>
    </row>
    <row r="25" spans="1:43" s="19" customFormat="1" ht="15.75" customHeight="1" outlineLevel="2" x14ac:dyDescent="0.2">
      <c r="A25" s="207" t="s">
        <v>104</v>
      </c>
      <c r="B25" s="215">
        <v>46195</v>
      </c>
      <c r="C25" s="218">
        <v>46215</v>
      </c>
      <c r="D25" s="219">
        <v>13</v>
      </c>
      <c r="E25" s="216">
        <v>2</v>
      </c>
      <c r="F25" s="216">
        <v>2</v>
      </c>
      <c r="G25" s="216">
        <v>3</v>
      </c>
      <c r="H25" s="216">
        <v>3</v>
      </c>
      <c r="I25" s="216">
        <v>4</v>
      </c>
      <c r="J25" s="108">
        <f t="shared" si="25"/>
        <v>14</v>
      </c>
      <c r="K25" s="109">
        <f t="shared" si="26"/>
        <v>1540</v>
      </c>
      <c r="L25" s="9"/>
      <c r="M25" s="106"/>
      <c r="N25" s="136">
        <f t="shared" si="27"/>
        <v>-46215</v>
      </c>
      <c r="O25" s="121"/>
      <c r="P25" s="131"/>
      <c r="Q25" s="131"/>
      <c r="R25" s="131"/>
      <c r="S25" s="131"/>
      <c r="T25" s="131"/>
      <c r="U25" s="137">
        <f t="shared" si="28"/>
        <v>0</v>
      </c>
      <c r="V25" s="131">
        <f t="shared" si="34"/>
        <v>14</v>
      </c>
      <c r="W25" s="137">
        <f t="shared" si="29"/>
        <v>14</v>
      </c>
      <c r="X25" s="131" t="s">
        <v>51</v>
      </c>
      <c r="Y25" s="137">
        <f t="shared" si="30"/>
        <v>0</v>
      </c>
      <c r="Z25" s="109">
        <f t="shared" si="31"/>
        <v>0</v>
      </c>
      <c r="AA25" s="109">
        <f t="shared" si="32"/>
        <v>1540</v>
      </c>
      <c r="AB25" s="139">
        <f t="shared" si="35"/>
        <v>-1540</v>
      </c>
      <c r="AC25" s="6"/>
      <c r="AF25" s="55"/>
      <c r="AG25" s="55"/>
      <c r="AH25" s="55"/>
      <c r="AI25" s="20"/>
    </row>
    <row r="26" spans="1:43" s="19" customFormat="1" ht="15.75" customHeight="1" outlineLevel="2" x14ac:dyDescent="0.2">
      <c r="A26" s="207" t="s">
        <v>105</v>
      </c>
      <c r="B26" s="215">
        <v>46195</v>
      </c>
      <c r="C26" s="218">
        <v>46215</v>
      </c>
      <c r="D26" s="219">
        <v>8</v>
      </c>
      <c r="E26" s="216">
        <v>4</v>
      </c>
      <c r="F26" s="216">
        <v>3</v>
      </c>
      <c r="G26" s="216">
        <v>2</v>
      </c>
      <c r="H26" s="216">
        <v>2</v>
      </c>
      <c r="I26" s="216">
        <v>2</v>
      </c>
      <c r="J26" s="108">
        <f t="shared" si="25"/>
        <v>13</v>
      </c>
      <c r="K26" s="109">
        <f t="shared" si="26"/>
        <v>1430</v>
      </c>
      <c r="L26" s="9"/>
      <c r="M26" s="106"/>
      <c r="N26" s="136">
        <f t="shared" si="27"/>
        <v>-46215</v>
      </c>
      <c r="O26" s="121"/>
      <c r="P26" s="131"/>
      <c r="Q26" s="131"/>
      <c r="R26" s="131"/>
      <c r="S26" s="131"/>
      <c r="T26" s="131"/>
      <c r="U26" s="137">
        <f t="shared" si="28"/>
        <v>0</v>
      </c>
      <c r="V26" s="131">
        <f t="shared" si="34"/>
        <v>13</v>
      </c>
      <c r="W26" s="137">
        <f t="shared" si="29"/>
        <v>13</v>
      </c>
      <c r="X26" s="131" t="s">
        <v>51</v>
      </c>
      <c r="Y26" s="137">
        <f t="shared" si="30"/>
        <v>0</v>
      </c>
      <c r="Z26" s="109">
        <f t="shared" si="31"/>
        <v>0</v>
      </c>
      <c r="AA26" s="109">
        <f t="shared" si="32"/>
        <v>1430</v>
      </c>
      <c r="AB26" s="139">
        <f t="shared" si="35"/>
        <v>-1430</v>
      </c>
      <c r="AC26" s="6"/>
      <c r="AF26" s="55"/>
      <c r="AG26" s="55"/>
      <c r="AH26" s="55"/>
    </row>
    <row r="27" spans="1:43" s="19" customFormat="1" ht="15.75" customHeight="1" outlineLevel="2" x14ac:dyDescent="0.2">
      <c r="A27" s="207" t="s">
        <v>106</v>
      </c>
      <c r="B27" s="215">
        <v>46195</v>
      </c>
      <c r="C27" s="218">
        <v>46215</v>
      </c>
      <c r="D27" s="219">
        <v>8</v>
      </c>
      <c r="E27" s="216">
        <v>2</v>
      </c>
      <c r="F27" s="216">
        <v>2</v>
      </c>
      <c r="G27" s="216">
        <v>2</v>
      </c>
      <c r="H27" s="216">
        <v>2</v>
      </c>
      <c r="I27" s="216">
        <v>3</v>
      </c>
      <c r="J27" s="108">
        <f t="shared" si="25"/>
        <v>11</v>
      </c>
      <c r="K27" s="109">
        <f t="shared" si="26"/>
        <v>1210</v>
      </c>
      <c r="L27" s="9"/>
      <c r="M27" s="106"/>
      <c r="N27" s="136">
        <f t="shared" si="27"/>
        <v>-46215</v>
      </c>
      <c r="O27" s="121"/>
      <c r="P27" s="131"/>
      <c r="Q27" s="131"/>
      <c r="R27" s="131"/>
      <c r="S27" s="131"/>
      <c r="T27" s="131"/>
      <c r="U27" s="137">
        <f t="shared" si="28"/>
        <v>0</v>
      </c>
      <c r="V27" s="131">
        <f t="shared" si="34"/>
        <v>11</v>
      </c>
      <c r="W27" s="137">
        <f t="shared" si="29"/>
        <v>11</v>
      </c>
      <c r="X27" s="131" t="s">
        <v>51</v>
      </c>
      <c r="Y27" s="137">
        <f t="shared" si="30"/>
        <v>0</v>
      </c>
      <c r="Z27" s="109">
        <f t="shared" si="31"/>
        <v>0</v>
      </c>
      <c r="AA27" s="109">
        <f t="shared" si="32"/>
        <v>1210</v>
      </c>
      <c r="AB27" s="139">
        <f t="shared" si="35"/>
        <v>-1210</v>
      </c>
      <c r="AC27" s="6"/>
      <c r="AF27" s="55"/>
      <c r="AG27" s="55"/>
      <c r="AH27" s="55"/>
    </row>
    <row r="28" spans="1:43" s="20" customFormat="1" ht="15.75" customHeight="1" outlineLevel="1" x14ac:dyDescent="0.2">
      <c r="A28" s="207" t="s">
        <v>107</v>
      </c>
      <c r="B28" s="215">
        <v>46195</v>
      </c>
      <c r="C28" s="218">
        <v>46215</v>
      </c>
      <c r="D28" s="219">
        <v>8</v>
      </c>
      <c r="E28" s="217">
        <v>2</v>
      </c>
      <c r="F28" s="217">
        <v>3</v>
      </c>
      <c r="G28" s="217">
        <v>2</v>
      </c>
      <c r="H28" s="217">
        <v>2</v>
      </c>
      <c r="I28" s="217">
        <v>3</v>
      </c>
      <c r="J28" s="108">
        <f t="shared" si="25"/>
        <v>12</v>
      </c>
      <c r="K28" s="109">
        <f t="shared" si="26"/>
        <v>1320</v>
      </c>
      <c r="L28" s="9"/>
      <c r="M28" s="106"/>
      <c r="N28" s="136">
        <f t="shared" si="27"/>
        <v>-46215</v>
      </c>
      <c r="O28" s="121"/>
      <c r="P28" s="131"/>
      <c r="Q28" s="131"/>
      <c r="R28" s="131"/>
      <c r="S28" s="131"/>
      <c r="T28" s="131"/>
      <c r="U28" s="137">
        <f t="shared" si="28"/>
        <v>0</v>
      </c>
      <c r="V28" s="131">
        <f t="shared" si="34"/>
        <v>12</v>
      </c>
      <c r="W28" s="137">
        <f t="shared" si="29"/>
        <v>12</v>
      </c>
      <c r="X28" s="131" t="s">
        <v>51</v>
      </c>
      <c r="Y28" s="137">
        <f t="shared" si="30"/>
        <v>0</v>
      </c>
      <c r="Z28" s="109">
        <f t="shared" si="31"/>
        <v>0</v>
      </c>
      <c r="AA28" s="109">
        <f t="shared" si="32"/>
        <v>1320</v>
      </c>
      <c r="AB28" s="139">
        <f t="shared" si="35"/>
        <v>-1320</v>
      </c>
      <c r="AC28" s="6"/>
      <c r="AD28" s="19"/>
      <c r="AE28" s="19"/>
      <c r="AF28" s="55"/>
      <c r="AG28" s="55"/>
      <c r="AH28" s="55"/>
      <c r="AI28" s="19"/>
    </row>
    <row r="29" spans="1:43" s="19" customFormat="1" ht="15.75" customHeight="1" outlineLevel="2" x14ac:dyDescent="0.2">
      <c r="A29" s="207" t="s">
        <v>108</v>
      </c>
      <c r="B29" s="215">
        <v>46216</v>
      </c>
      <c r="C29" s="218">
        <v>46236</v>
      </c>
      <c r="D29" s="219">
        <v>5</v>
      </c>
      <c r="E29" s="216">
        <v>2</v>
      </c>
      <c r="F29" s="216">
        <v>2</v>
      </c>
      <c r="G29" s="216">
        <v>2</v>
      </c>
      <c r="H29" s="216">
        <v>2</v>
      </c>
      <c r="I29" s="216">
        <v>2</v>
      </c>
      <c r="J29" s="108">
        <f t="shared" si="25"/>
        <v>10</v>
      </c>
      <c r="K29" s="109">
        <f t="shared" si="26"/>
        <v>1100</v>
      </c>
      <c r="L29" s="9"/>
      <c r="M29" s="106"/>
      <c r="N29" s="136">
        <f t="shared" si="27"/>
        <v>-46236</v>
      </c>
      <c r="O29" s="121"/>
      <c r="P29" s="131"/>
      <c r="Q29" s="131"/>
      <c r="R29" s="131"/>
      <c r="S29" s="131"/>
      <c r="T29" s="131"/>
      <c r="U29" s="137">
        <f t="shared" si="28"/>
        <v>0</v>
      </c>
      <c r="V29" s="131">
        <f t="shared" si="34"/>
        <v>10</v>
      </c>
      <c r="W29" s="137">
        <f t="shared" si="29"/>
        <v>10</v>
      </c>
      <c r="X29" s="131" t="s">
        <v>51</v>
      </c>
      <c r="Y29" s="137">
        <f t="shared" si="30"/>
        <v>0</v>
      </c>
      <c r="Z29" s="109">
        <f t="shared" si="31"/>
        <v>0</v>
      </c>
      <c r="AA29" s="109">
        <f t="shared" si="32"/>
        <v>1100</v>
      </c>
      <c r="AB29" s="139">
        <f t="shared" si="35"/>
        <v>-1100</v>
      </c>
      <c r="AC29" s="6"/>
      <c r="AF29" s="55"/>
      <c r="AG29" s="55"/>
      <c r="AH29" s="55"/>
      <c r="AI29" s="20"/>
    </row>
    <row r="30" spans="1:43" s="19" customFormat="1" ht="15.75" customHeight="1" outlineLevel="2" x14ac:dyDescent="0.2">
      <c r="A30" s="207" t="s">
        <v>109</v>
      </c>
      <c r="B30" s="215">
        <v>46216</v>
      </c>
      <c r="C30" s="218">
        <v>46236</v>
      </c>
      <c r="D30" s="219">
        <v>8</v>
      </c>
      <c r="E30" s="216">
        <v>3</v>
      </c>
      <c r="F30" s="216">
        <v>3</v>
      </c>
      <c r="G30" s="216">
        <v>3</v>
      </c>
      <c r="H30" s="216">
        <v>3</v>
      </c>
      <c r="I30" s="216">
        <v>3</v>
      </c>
      <c r="J30" s="108">
        <f t="shared" si="25"/>
        <v>15</v>
      </c>
      <c r="K30" s="109">
        <f t="shared" si="26"/>
        <v>1650</v>
      </c>
      <c r="L30" s="9"/>
      <c r="M30" s="106"/>
      <c r="N30" s="136">
        <f t="shared" si="27"/>
        <v>-46236</v>
      </c>
      <c r="O30" s="121"/>
      <c r="P30" s="131"/>
      <c r="Q30" s="131"/>
      <c r="R30" s="131"/>
      <c r="S30" s="131"/>
      <c r="T30" s="131"/>
      <c r="U30" s="137">
        <f t="shared" si="28"/>
        <v>0</v>
      </c>
      <c r="V30" s="131">
        <f t="shared" si="34"/>
        <v>15</v>
      </c>
      <c r="W30" s="137">
        <f t="shared" si="29"/>
        <v>15</v>
      </c>
      <c r="X30" s="131" t="s">
        <v>51</v>
      </c>
      <c r="Y30" s="137">
        <f t="shared" si="30"/>
        <v>0</v>
      </c>
      <c r="Z30" s="109">
        <f t="shared" si="31"/>
        <v>0</v>
      </c>
      <c r="AA30" s="109">
        <f t="shared" si="32"/>
        <v>1650</v>
      </c>
      <c r="AB30" s="139">
        <f t="shared" si="35"/>
        <v>-1650</v>
      </c>
      <c r="AC30" s="6"/>
      <c r="AF30" s="55"/>
      <c r="AG30" s="55"/>
      <c r="AH30" s="55"/>
    </row>
    <row r="31" spans="1:43" s="19" customFormat="1" ht="15.75" customHeight="1" outlineLevel="2" x14ac:dyDescent="0.2">
      <c r="A31" s="207" t="s">
        <v>110</v>
      </c>
      <c r="B31" s="215">
        <v>46216</v>
      </c>
      <c r="C31" s="218">
        <v>46236</v>
      </c>
      <c r="D31" s="219">
        <v>5</v>
      </c>
      <c r="E31" s="216">
        <v>2</v>
      </c>
      <c r="F31" s="216">
        <v>2</v>
      </c>
      <c r="G31" s="216">
        <v>2</v>
      </c>
      <c r="H31" s="216">
        <v>3</v>
      </c>
      <c r="I31" s="216">
        <v>3</v>
      </c>
      <c r="J31" s="108">
        <f t="shared" si="25"/>
        <v>12</v>
      </c>
      <c r="K31" s="109">
        <f t="shared" si="26"/>
        <v>1320</v>
      </c>
      <c r="L31" s="9"/>
      <c r="M31" s="106"/>
      <c r="N31" s="136">
        <f t="shared" si="27"/>
        <v>-46236</v>
      </c>
      <c r="O31" s="121"/>
      <c r="P31" s="131"/>
      <c r="Q31" s="131"/>
      <c r="R31" s="131"/>
      <c r="S31" s="131"/>
      <c r="T31" s="131"/>
      <c r="U31" s="137">
        <f t="shared" si="28"/>
        <v>0</v>
      </c>
      <c r="V31" s="131">
        <f t="shared" si="34"/>
        <v>12</v>
      </c>
      <c r="W31" s="137">
        <f t="shared" si="29"/>
        <v>12</v>
      </c>
      <c r="X31" s="131" t="s">
        <v>51</v>
      </c>
      <c r="Y31" s="137">
        <f t="shared" si="30"/>
        <v>0</v>
      </c>
      <c r="Z31" s="109">
        <f t="shared" si="31"/>
        <v>0</v>
      </c>
      <c r="AA31" s="109">
        <f t="shared" si="32"/>
        <v>1320</v>
      </c>
      <c r="AB31" s="139">
        <f t="shared" si="35"/>
        <v>-1320</v>
      </c>
      <c r="AC31" s="6"/>
      <c r="AF31" s="55"/>
      <c r="AG31" s="55"/>
      <c r="AH31" s="55"/>
    </row>
    <row r="32" spans="1:43" s="20" customFormat="1" ht="15.75" customHeight="1" outlineLevel="1" x14ac:dyDescent="0.2">
      <c r="A32" s="207" t="s">
        <v>111</v>
      </c>
      <c r="B32" s="215">
        <v>46216</v>
      </c>
      <c r="C32" s="218">
        <v>46236</v>
      </c>
      <c r="D32" s="219">
        <v>5</v>
      </c>
      <c r="E32" s="217">
        <v>3</v>
      </c>
      <c r="F32" s="217">
        <v>2</v>
      </c>
      <c r="G32" s="217">
        <v>2</v>
      </c>
      <c r="H32" s="217">
        <v>2</v>
      </c>
      <c r="I32" s="217">
        <v>3</v>
      </c>
      <c r="J32" s="108">
        <f t="shared" si="25"/>
        <v>12</v>
      </c>
      <c r="K32" s="109">
        <f t="shared" si="26"/>
        <v>1320</v>
      </c>
      <c r="L32" s="9"/>
      <c r="M32" s="106"/>
      <c r="N32" s="136">
        <f t="shared" si="27"/>
        <v>-46236</v>
      </c>
      <c r="O32" s="121"/>
      <c r="P32" s="131"/>
      <c r="Q32" s="131"/>
      <c r="R32" s="131"/>
      <c r="S32" s="131"/>
      <c r="T32" s="131"/>
      <c r="U32" s="137">
        <f t="shared" si="28"/>
        <v>0</v>
      </c>
      <c r="V32" s="131">
        <f t="shared" si="34"/>
        <v>12</v>
      </c>
      <c r="W32" s="137">
        <f t="shared" si="29"/>
        <v>12</v>
      </c>
      <c r="X32" s="131" t="s">
        <v>51</v>
      </c>
      <c r="Y32" s="137">
        <f t="shared" si="30"/>
        <v>0</v>
      </c>
      <c r="Z32" s="109">
        <f t="shared" si="31"/>
        <v>0</v>
      </c>
      <c r="AA32" s="109">
        <f t="shared" si="32"/>
        <v>1320</v>
      </c>
      <c r="AB32" s="139">
        <f t="shared" si="35"/>
        <v>-1320</v>
      </c>
      <c r="AC32" s="6"/>
      <c r="AD32" s="19"/>
      <c r="AE32" s="19"/>
      <c r="AF32" s="55"/>
      <c r="AG32" s="55"/>
      <c r="AH32" s="55"/>
      <c r="AI32" s="19"/>
    </row>
    <row r="33" spans="1:43" s="19" customFormat="1" ht="15.75" customHeight="1" outlineLevel="2" x14ac:dyDescent="0.2">
      <c r="A33" s="207" t="s">
        <v>112</v>
      </c>
      <c r="B33" s="215">
        <v>46216</v>
      </c>
      <c r="C33" s="218">
        <v>46236</v>
      </c>
      <c r="D33" s="219">
        <v>13</v>
      </c>
      <c r="E33" s="216">
        <v>2</v>
      </c>
      <c r="F33" s="216">
        <v>3</v>
      </c>
      <c r="G33" s="216">
        <v>3</v>
      </c>
      <c r="H33" s="216">
        <v>3</v>
      </c>
      <c r="I33" s="216">
        <v>4</v>
      </c>
      <c r="J33" s="108">
        <f t="shared" si="25"/>
        <v>15</v>
      </c>
      <c r="K33" s="109">
        <f t="shared" si="26"/>
        <v>1650</v>
      </c>
      <c r="L33" s="9"/>
      <c r="M33" s="106"/>
      <c r="N33" s="136">
        <f t="shared" si="27"/>
        <v>-46236</v>
      </c>
      <c r="O33" s="121"/>
      <c r="P33" s="131"/>
      <c r="Q33" s="131"/>
      <c r="R33" s="131"/>
      <c r="S33" s="131"/>
      <c r="T33" s="131"/>
      <c r="U33" s="137">
        <f t="shared" si="28"/>
        <v>0</v>
      </c>
      <c r="V33" s="131">
        <f t="shared" si="34"/>
        <v>15</v>
      </c>
      <c r="W33" s="137">
        <f t="shared" si="29"/>
        <v>15</v>
      </c>
      <c r="X33" s="131" t="s">
        <v>51</v>
      </c>
      <c r="Y33" s="137">
        <f t="shared" si="30"/>
        <v>0</v>
      </c>
      <c r="Z33" s="109">
        <f t="shared" si="31"/>
        <v>0</v>
      </c>
      <c r="AA33" s="109">
        <f t="shared" si="32"/>
        <v>1650</v>
      </c>
      <c r="AB33" s="139">
        <f t="shared" si="35"/>
        <v>-1650</v>
      </c>
      <c r="AC33" s="6"/>
      <c r="AF33" s="55"/>
      <c r="AG33" s="55"/>
      <c r="AH33" s="55"/>
      <c r="AI33" s="20"/>
    </row>
    <row r="34" spans="1:43" s="19" customFormat="1" ht="15.75" customHeight="1" outlineLevel="2" x14ac:dyDescent="0.2">
      <c r="A34" s="207" t="s">
        <v>113</v>
      </c>
      <c r="B34" s="215">
        <v>46216</v>
      </c>
      <c r="C34" s="218">
        <v>46236</v>
      </c>
      <c r="D34" s="219">
        <v>8</v>
      </c>
      <c r="E34" s="216">
        <v>2</v>
      </c>
      <c r="F34" s="216">
        <v>2</v>
      </c>
      <c r="G34" s="216">
        <v>3</v>
      </c>
      <c r="H34" s="216">
        <v>2</v>
      </c>
      <c r="I34" s="216">
        <v>3</v>
      </c>
      <c r="J34" s="108">
        <f t="shared" si="25"/>
        <v>12</v>
      </c>
      <c r="K34" s="109">
        <f t="shared" si="26"/>
        <v>1320</v>
      </c>
      <c r="L34" s="9"/>
      <c r="M34" s="106"/>
      <c r="N34" s="136">
        <f t="shared" si="27"/>
        <v>-46236</v>
      </c>
      <c r="O34" s="121"/>
      <c r="P34" s="131"/>
      <c r="Q34" s="131"/>
      <c r="R34" s="131"/>
      <c r="S34" s="131"/>
      <c r="T34" s="131"/>
      <c r="U34" s="137">
        <f t="shared" si="28"/>
        <v>0</v>
      </c>
      <c r="V34" s="131">
        <f t="shared" si="34"/>
        <v>12</v>
      </c>
      <c r="W34" s="137">
        <f t="shared" si="29"/>
        <v>12</v>
      </c>
      <c r="X34" s="131" t="s">
        <v>51</v>
      </c>
      <c r="Y34" s="137">
        <f t="shared" si="30"/>
        <v>0</v>
      </c>
      <c r="Z34" s="109">
        <f t="shared" si="31"/>
        <v>0</v>
      </c>
      <c r="AA34" s="109">
        <f t="shared" si="32"/>
        <v>1320</v>
      </c>
      <c r="AB34" s="139">
        <f t="shared" si="35"/>
        <v>-1320</v>
      </c>
      <c r="AC34" s="6"/>
      <c r="AF34" s="55"/>
      <c r="AG34" s="55"/>
      <c r="AH34" s="55"/>
    </row>
    <row r="35" spans="1:43" s="19" customFormat="1" ht="15.75" customHeight="1" outlineLevel="2" x14ac:dyDescent="0.2">
      <c r="A35" s="207" t="s">
        <v>114</v>
      </c>
      <c r="B35" s="215">
        <v>46216</v>
      </c>
      <c r="C35" s="218">
        <v>46236</v>
      </c>
      <c r="D35" s="219">
        <v>5</v>
      </c>
      <c r="E35" s="216">
        <v>3</v>
      </c>
      <c r="F35" s="216">
        <v>2</v>
      </c>
      <c r="G35" s="216">
        <v>2</v>
      </c>
      <c r="H35" s="216">
        <v>2</v>
      </c>
      <c r="I35" s="216">
        <v>2</v>
      </c>
      <c r="J35" s="108">
        <f t="shared" si="25"/>
        <v>11</v>
      </c>
      <c r="K35" s="109">
        <f t="shared" si="26"/>
        <v>1210</v>
      </c>
      <c r="L35" s="9"/>
      <c r="M35" s="106"/>
      <c r="N35" s="136">
        <f t="shared" si="27"/>
        <v>-46236</v>
      </c>
      <c r="O35" s="121"/>
      <c r="P35" s="131"/>
      <c r="Q35" s="131"/>
      <c r="R35" s="131"/>
      <c r="S35" s="131"/>
      <c r="T35" s="131"/>
      <c r="U35" s="137">
        <f t="shared" si="28"/>
        <v>0</v>
      </c>
      <c r="V35" s="131">
        <f t="shared" si="34"/>
        <v>11</v>
      </c>
      <c r="W35" s="137">
        <f t="shared" si="29"/>
        <v>11</v>
      </c>
      <c r="X35" s="131" t="s">
        <v>51</v>
      </c>
      <c r="Y35" s="137">
        <f t="shared" si="30"/>
        <v>0</v>
      </c>
      <c r="Z35" s="109">
        <f t="shared" si="31"/>
        <v>0</v>
      </c>
      <c r="AA35" s="109">
        <f t="shared" si="32"/>
        <v>1210</v>
      </c>
      <c r="AB35" s="139">
        <f t="shared" si="35"/>
        <v>-1210</v>
      </c>
      <c r="AC35" s="6"/>
      <c r="AF35" s="55"/>
      <c r="AG35" s="55"/>
      <c r="AH35" s="55"/>
    </row>
    <row r="36" spans="1:43" s="19" customFormat="1" ht="15.75" customHeight="1" outlineLevel="1" x14ac:dyDescent="0.2">
      <c r="A36" s="207" t="s">
        <v>115</v>
      </c>
      <c r="B36" s="215">
        <v>46216</v>
      </c>
      <c r="C36" s="218">
        <v>46236</v>
      </c>
      <c r="D36" s="219">
        <v>13</v>
      </c>
      <c r="E36" s="216">
        <v>2</v>
      </c>
      <c r="F36" s="216">
        <v>3</v>
      </c>
      <c r="G36" s="216">
        <v>3</v>
      </c>
      <c r="H36" s="216">
        <v>3</v>
      </c>
      <c r="I36" s="216">
        <v>3</v>
      </c>
      <c r="J36" s="108">
        <f t="shared" si="25"/>
        <v>14</v>
      </c>
      <c r="K36" s="109">
        <f t="shared" si="26"/>
        <v>1540</v>
      </c>
      <c r="L36" s="9"/>
      <c r="M36" s="106"/>
      <c r="N36" s="136">
        <f t="shared" si="27"/>
        <v>-46236</v>
      </c>
      <c r="O36" s="121"/>
      <c r="P36" s="131"/>
      <c r="Q36" s="131"/>
      <c r="R36" s="131"/>
      <c r="S36" s="131"/>
      <c r="T36" s="131"/>
      <c r="U36" s="137">
        <f t="shared" si="28"/>
        <v>0</v>
      </c>
      <c r="V36" s="131">
        <f t="shared" si="34"/>
        <v>14</v>
      </c>
      <c r="W36" s="137">
        <f t="shared" si="29"/>
        <v>14</v>
      </c>
      <c r="X36" s="131" t="s">
        <v>51</v>
      </c>
      <c r="Y36" s="137">
        <f t="shared" si="30"/>
        <v>0</v>
      </c>
      <c r="Z36" s="109">
        <f t="shared" si="31"/>
        <v>0</v>
      </c>
      <c r="AA36" s="109">
        <f t="shared" si="32"/>
        <v>1540</v>
      </c>
      <c r="AB36" s="139">
        <f t="shared" si="35"/>
        <v>-1540</v>
      </c>
      <c r="AC36" s="6"/>
      <c r="AF36" s="55"/>
      <c r="AG36" s="55"/>
      <c r="AH36" s="55"/>
    </row>
    <row r="37" spans="1:43" s="31" customFormat="1" ht="15.75" customHeight="1" x14ac:dyDescent="0.2">
      <c r="A37" s="45" t="s">
        <v>25</v>
      </c>
      <c r="B37" s="46">
        <f>MIN(B19:B36)</f>
        <v>46189</v>
      </c>
      <c r="C37" s="46">
        <f>MAX(C19:C36)</f>
        <v>46236</v>
      </c>
      <c r="D37" s="47">
        <f>SUM(D21:D23)</f>
        <v>29</v>
      </c>
      <c r="E37" s="85">
        <f t="shared" ref="E37:J37" si="36">SUM(E19:E36)</f>
        <v>46</v>
      </c>
      <c r="F37" s="85">
        <f t="shared" si="36"/>
        <v>41</v>
      </c>
      <c r="G37" s="85">
        <f t="shared" si="36"/>
        <v>40</v>
      </c>
      <c r="H37" s="85">
        <f t="shared" si="36"/>
        <v>45</v>
      </c>
      <c r="I37" s="85">
        <f t="shared" si="36"/>
        <v>58</v>
      </c>
      <c r="J37" s="85">
        <f t="shared" si="36"/>
        <v>230</v>
      </c>
      <c r="K37" s="70">
        <f t="shared" si="26"/>
        <v>25300</v>
      </c>
      <c r="L37" s="49"/>
      <c r="M37" s="46">
        <f>MAX(M19:M36)</f>
        <v>0</v>
      </c>
      <c r="N37" s="48">
        <f>M37-C37</f>
        <v>-46236</v>
      </c>
      <c r="O37" s="47">
        <f>SUM(O21:O23)</f>
        <v>0</v>
      </c>
      <c r="P37" s="48">
        <f t="shared" ref="P37:Y37" si="37">SUM(P19:P19)</f>
        <v>0</v>
      </c>
      <c r="Q37" s="48">
        <f t="shared" si="37"/>
        <v>0</v>
      </c>
      <c r="R37" s="48">
        <f t="shared" si="37"/>
        <v>0</v>
      </c>
      <c r="S37" s="48">
        <f t="shared" si="37"/>
        <v>0</v>
      </c>
      <c r="T37" s="48">
        <f t="shared" si="37"/>
        <v>0</v>
      </c>
      <c r="U37" s="48">
        <f>SUM(U19:U36)</f>
        <v>0</v>
      </c>
      <c r="V37" s="48">
        <f>SUM(V19:V36)</f>
        <v>230</v>
      </c>
      <c r="W37" s="48">
        <f>SUM(W19:W36)</f>
        <v>230</v>
      </c>
      <c r="X37" s="48"/>
      <c r="Y37" s="48">
        <f t="shared" si="37"/>
        <v>0</v>
      </c>
      <c r="Z37" s="70">
        <f t="shared" ref="Z37" si="38">tarif*U37</f>
        <v>0</v>
      </c>
      <c r="AA37" s="70">
        <f t="shared" si="32"/>
        <v>25300</v>
      </c>
      <c r="AB37" s="70">
        <f t="shared" si="33"/>
        <v>-25300</v>
      </c>
      <c r="AC37" s="50"/>
      <c r="AD37" s="37"/>
      <c r="AE37" s="19"/>
      <c r="AF37" s="55"/>
      <c r="AG37" s="55"/>
      <c r="AH37" s="55"/>
      <c r="AI37" s="19"/>
      <c r="AJ37" s="37"/>
      <c r="AK37" s="37"/>
      <c r="AL37" s="37"/>
      <c r="AM37" s="37"/>
      <c r="AN37" s="37"/>
      <c r="AO37" s="37"/>
      <c r="AP37" s="37"/>
      <c r="AQ37" s="37"/>
    </row>
    <row r="38" spans="1:43" s="31" customFormat="1" ht="15" x14ac:dyDescent="0.2">
      <c r="A38" s="123" t="s">
        <v>26</v>
      </c>
      <c r="B38" s="124"/>
      <c r="C38" s="124"/>
      <c r="D38" s="125"/>
      <c r="E38" s="126"/>
      <c r="F38" s="126"/>
      <c r="G38" s="126"/>
      <c r="H38" s="126"/>
      <c r="I38" s="126"/>
      <c r="J38" s="126"/>
      <c r="K38" s="77"/>
      <c r="L38" s="51"/>
      <c r="M38" s="203"/>
      <c r="N38" s="203"/>
      <c r="O38" s="140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77"/>
      <c r="AA38" s="77"/>
      <c r="AB38" s="77"/>
      <c r="AC38" s="52"/>
      <c r="AE38" s="37"/>
      <c r="AF38" s="151"/>
      <c r="AG38" s="151"/>
      <c r="AH38" s="151"/>
      <c r="AI38" s="37"/>
    </row>
    <row r="39" spans="1:43" s="19" customFormat="1" ht="14.25" outlineLevel="1" x14ac:dyDescent="0.2">
      <c r="A39" s="127" t="s">
        <v>31</v>
      </c>
      <c r="B39" s="220">
        <v>46237</v>
      </c>
      <c r="C39" s="224">
        <v>46243</v>
      </c>
      <c r="D39" s="225" t="s">
        <v>22</v>
      </c>
      <c r="E39" s="221">
        <v>2</v>
      </c>
      <c r="F39" s="221">
        <v>1</v>
      </c>
      <c r="G39" s="221">
        <v>2</v>
      </c>
      <c r="H39" s="221">
        <v>2</v>
      </c>
      <c r="I39" s="221">
        <v>1</v>
      </c>
      <c r="J39" s="108">
        <f t="shared" ref="J39:J43" si="39">SUM(E39:I39)</f>
        <v>8</v>
      </c>
      <c r="K39" s="109">
        <f>tarif*J39</f>
        <v>880</v>
      </c>
      <c r="L39" s="13"/>
      <c r="M39" s="106"/>
      <c r="N39" s="136">
        <f t="shared" ref="N39:N42" si="40">M39-C39</f>
        <v>-46243</v>
      </c>
      <c r="O39" s="121" t="s">
        <v>22</v>
      </c>
      <c r="P39" s="131"/>
      <c r="Q39" s="131"/>
      <c r="R39" s="131"/>
      <c r="S39" s="131"/>
      <c r="T39" s="131"/>
      <c r="U39" s="108">
        <f t="shared" ref="U39:U42" si="41">SUM(P39:T39)</f>
        <v>0</v>
      </c>
      <c r="V39" s="131">
        <f t="shared" ref="V39:V42" si="42">J39-U39</f>
        <v>8</v>
      </c>
      <c r="W39" s="137">
        <f t="shared" ref="W39:W42" si="43">U39+V39</f>
        <v>8</v>
      </c>
      <c r="X39" s="131" t="s">
        <v>51</v>
      </c>
      <c r="Y39" s="137">
        <f t="shared" ref="Y39:Y42" si="44">(W39-J39)</f>
        <v>0</v>
      </c>
      <c r="Z39" s="109">
        <f>tarif*U39</f>
        <v>0</v>
      </c>
      <c r="AA39" s="109">
        <f>tarif*W39</f>
        <v>880</v>
      </c>
      <c r="AB39" s="139">
        <f t="shared" ref="AB39:AB43" si="45">Z39-K39</f>
        <v>-880</v>
      </c>
      <c r="AC39" s="6"/>
      <c r="AE39" s="31"/>
      <c r="AF39" s="150"/>
      <c r="AG39" s="150"/>
      <c r="AH39" s="150"/>
      <c r="AI39" s="31"/>
    </row>
    <row r="40" spans="1:43" s="19" customFormat="1" ht="12.75" outlineLevel="1" x14ac:dyDescent="0.2">
      <c r="A40" s="127" t="s">
        <v>29</v>
      </c>
      <c r="B40" s="220">
        <v>46237</v>
      </c>
      <c r="C40" s="224">
        <v>46240</v>
      </c>
      <c r="D40" s="225" t="s">
        <v>22</v>
      </c>
      <c r="E40" s="221">
        <v>3</v>
      </c>
      <c r="F40" s="221">
        <v>2</v>
      </c>
      <c r="G40" s="221">
        <v>2</v>
      </c>
      <c r="H40" s="221">
        <v>2</v>
      </c>
      <c r="I40" s="221">
        <v>2</v>
      </c>
      <c r="J40" s="108">
        <f t="shared" si="39"/>
        <v>11</v>
      </c>
      <c r="K40" s="109">
        <f>tarif*J40</f>
        <v>1210</v>
      </c>
      <c r="L40" s="13"/>
      <c r="M40" s="106"/>
      <c r="N40" s="136">
        <f t="shared" si="40"/>
        <v>-46240</v>
      </c>
      <c r="O40" s="121" t="s">
        <v>22</v>
      </c>
      <c r="P40" s="131"/>
      <c r="Q40" s="131"/>
      <c r="R40" s="131"/>
      <c r="S40" s="131"/>
      <c r="T40" s="131"/>
      <c r="U40" s="108">
        <f t="shared" si="41"/>
        <v>0</v>
      </c>
      <c r="V40" s="131">
        <f t="shared" si="42"/>
        <v>11</v>
      </c>
      <c r="W40" s="137">
        <f t="shared" si="43"/>
        <v>11</v>
      </c>
      <c r="X40" s="131" t="s">
        <v>51</v>
      </c>
      <c r="Y40" s="137">
        <f t="shared" si="44"/>
        <v>0</v>
      </c>
      <c r="Z40" s="109">
        <f>tarif*U40</f>
        <v>0</v>
      </c>
      <c r="AA40" s="109">
        <f>tarif*W40</f>
        <v>1210</v>
      </c>
      <c r="AB40" s="139">
        <f t="shared" si="45"/>
        <v>-1210</v>
      </c>
      <c r="AC40" s="6"/>
      <c r="AF40" s="55"/>
      <c r="AG40" s="55"/>
      <c r="AH40" s="55"/>
    </row>
    <row r="41" spans="1:43" s="19" customFormat="1" ht="12.75" outlineLevel="1" x14ac:dyDescent="0.2">
      <c r="A41" s="127" t="s">
        <v>28</v>
      </c>
      <c r="B41" s="220">
        <v>46240</v>
      </c>
      <c r="C41" s="224">
        <v>46240</v>
      </c>
      <c r="D41" s="225" t="s">
        <v>22</v>
      </c>
      <c r="E41" s="221">
        <v>2</v>
      </c>
      <c r="F41" s="221">
        <v>2</v>
      </c>
      <c r="G41" s="221">
        <v>2</v>
      </c>
      <c r="H41" s="221">
        <v>2</v>
      </c>
      <c r="I41" s="221">
        <v>2</v>
      </c>
      <c r="J41" s="108">
        <f t="shared" si="39"/>
        <v>10</v>
      </c>
      <c r="K41" s="109">
        <f>tarif*J41</f>
        <v>1100</v>
      </c>
      <c r="L41" s="13"/>
      <c r="M41" s="106"/>
      <c r="N41" s="136">
        <f t="shared" si="40"/>
        <v>-46240</v>
      </c>
      <c r="O41" s="121" t="s">
        <v>22</v>
      </c>
      <c r="P41" s="131"/>
      <c r="Q41" s="131"/>
      <c r="R41" s="131"/>
      <c r="S41" s="131"/>
      <c r="T41" s="131"/>
      <c r="U41" s="108">
        <f t="shared" si="41"/>
        <v>0</v>
      </c>
      <c r="V41" s="131">
        <f t="shared" si="42"/>
        <v>10</v>
      </c>
      <c r="W41" s="137">
        <f t="shared" si="43"/>
        <v>10</v>
      </c>
      <c r="X41" s="131" t="s">
        <v>51</v>
      </c>
      <c r="Y41" s="137">
        <f t="shared" si="44"/>
        <v>0</v>
      </c>
      <c r="Z41" s="109">
        <f>tarif*U41</f>
        <v>0</v>
      </c>
      <c r="AA41" s="109">
        <f>tarif*W41</f>
        <v>1100</v>
      </c>
      <c r="AB41" s="139">
        <f t="shared" si="45"/>
        <v>-1100</v>
      </c>
      <c r="AC41" s="6"/>
      <c r="AF41" s="55"/>
      <c r="AG41" s="55"/>
      <c r="AH41" s="55"/>
    </row>
    <row r="42" spans="1:43" s="19" customFormat="1" ht="12.75" outlineLevel="1" x14ac:dyDescent="0.2">
      <c r="A42" s="128" t="s">
        <v>30</v>
      </c>
      <c r="B42" s="224">
        <v>46240</v>
      </c>
      <c r="C42" s="220">
        <v>46243</v>
      </c>
      <c r="D42" s="222" t="s">
        <v>22</v>
      </c>
      <c r="E42" s="221">
        <v>3</v>
      </c>
      <c r="F42" s="221">
        <v>2</v>
      </c>
      <c r="G42" s="223">
        <v>2</v>
      </c>
      <c r="H42" s="221">
        <v>2</v>
      </c>
      <c r="I42" s="221">
        <v>2</v>
      </c>
      <c r="J42" s="108">
        <f t="shared" si="39"/>
        <v>11</v>
      </c>
      <c r="K42" s="109">
        <f>tarif*J42</f>
        <v>1210</v>
      </c>
      <c r="L42" s="13"/>
      <c r="M42" s="106"/>
      <c r="N42" s="136">
        <f t="shared" si="40"/>
        <v>-46243</v>
      </c>
      <c r="O42" s="116" t="s">
        <v>22</v>
      </c>
      <c r="P42" s="131"/>
      <c r="Q42" s="131"/>
      <c r="R42" s="131"/>
      <c r="S42" s="131"/>
      <c r="T42" s="131"/>
      <c r="U42" s="108">
        <f t="shared" si="41"/>
        <v>0</v>
      </c>
      <c r="V42" s="131">
        <f t="shared" si="42"/>
        <v>11</v>
      </c>
      <c r="W42" s="137">
        <f t="shared" si="43"/>
        <v>11</v>
      </c>
      <c r="X42" s="131" t="s">
        <v>51</v>
      </c>
      <c r="Y42" s="137">
        <f t="shared" si="44"/>
        <v>0</v>
      </c>
      <c r="Z42" s="109">
        <f>tarif*U42</f>
        <v>0</v>
      </c>
      <c r="AA42" s="109">
        <f>tarif*W42</f>
        <v>1210</v>
      </c>
      <c r="AB42" s="139">
        <f t="shared" si="45"/>
        <v>-1210</v>
      </c>
      <c r="AC42" s="6"/>
      <c r="AF42" s="55"/>
      <c r="AG42" s="55"/>
      <c r="AH42" s="55"/>
    </row>
    <row r="43" spans="1:43" s="31" customFormat="1" ht="15" x14ac:dyDescent="0.2">
      <c r="A43" s="129" t="s">
        <v>27</v>
      </c>
      <c r="B43" s="61">
        <f>MIN(B39:B42)</f>
        <v>46237</v>
      </c>
      <c r="C43" s="61">
        <f>MAX(C39:C42)</f>
        <v>46243</v>
      </c>
      <c r="D43" s="62" t="s">
        <v>23</v>
      </c>
      <c r="E43" s="130">
        <f>SUM(E39:E42)</f>
        <v>10</v>
      </c>
      <c r="F43" s="130">
        <f t="shared" ref="F43:I43" si="46">SUM(F39:F42)</f>
        <v>7</v>
      </c>
      <c r="G43" s="130">
        <f t="shared" si="46"/>
        <v>8</v>
      </c>
      <c r="H43" s="130">
        <f t="shared" si="46"/>
        <v>8</v>
      </c>
      <c r="I43" s="130">
        <f t="shared" si="46"/>
        <v>7</v>
      </c>
      <c r="J43" s="130">
        <f t="shared" si="39"/>
        <v>40</v>
      </c>
      <c r="K43" s="71">
        <f>tarif*J43</f>
        <v>4400</v>
      </c>
      <c r="L43" s="49"/>
      <c r="M43" s="61">
        <f>MAX(M39:M42)</f>
        <v>0</v>
      </c>
      <c r="N43" s="57">
        <f>M43-C43</f>
        <v>-46243</v>
      </c>
      <c r="O43" s="62" t="s">
        <v>23</v>
      </c>
      <c r="P43" s="57">
        <f t="shared" ref="P43:Y43" si="47">SUM(P39:P42)</f>
        <v>0</v>
      </c>
      <c r="Q43" s="57">
        <f t="shared" si="47"/>
        <v>0</v>
      </c>
      <c r="R43" s="57">
        <f t="shared" si="47"/>
        <v>0</v>
      </c>
      <c r="S43" s="57">
        <f t="shared" si="47"/>
        <v>0</v>
      </c>
      <c r="T43" s="57">
        <f t="shared" si="47"/>
        <v>0</v>
      </c>
      <c r="U43" s="57">
        <f t="shared" si="47"/>
        <v>0</v>
      </c>
      <c r="V43" s="57">
        <f t="shared" ref="V43" si="48">SUM(V39:V42)</f>
        <v>40</v>
      </c>
      <c r="W43" s="57">
        <f t="shared" ref="W43" si="49">SUM(W39:W42)</f>
        <v>40</v>
      </c>
      <c r="X43" s="57"/>
      <c r="Y43" s="57">
        <f t="shared" si="47"/>
        <v>0</v>
      </c>
      <c r="Z43" s="71">
        <f>tarif*U43</f>
        <v>0</v>
      </c>
      <c r="AA43" s="71">
        <f>tarif*W43</f>
        <v>4400</v>
      </c>
      <c r="AB43" s="71">
        <f t="shared" si="45"/>
        <v>-4400</v>
      </c>
      <c r="AC43" s="53"/>
      <c r="AD43" s="37"/>
      <c r="AE43" s="19"/>
      <c r="AF43" s="55"/>
      <c r="AG43" s="55"/>
      <c r="AH43" s="55"/>
      <c r="AI43" s="19"/>
      <c r="AJ43" s="37"/>
      <c r="AK43" s="37"/>
      <c r="AL43" s="37"/>
      <c r="AM43" s="37"/>
      <c r="AN43" s="37"/>
      <c r="AO43" s="37"/>
      <c r="AP43" s="37"/>
      <c r="AQ43" s="37"/>
    </row>
    <row r="44" spans="1:43" ht="15" x14ac:dyDescent="0.2">
      <c r="A44" s="7"/>
      <c r="D44" s="5"/>
      <c r="E44" s="82"/>
      <c r="F44" s="82"/>
      <c r="G44" s="82"/>
      <c r="H44" s="82"/>
      <c r="I44" s="82"/>
      <c r="J44" s="86"/>
      <c r="K44" s="78"/>
      <c r="L44" s="14"/>
      <c r="M44" s="18"/>
      <c r="N44" s="14"/>
      <c r="O44" s="14"/>
      <c r="P44" s="15"/>
      <c r="Q44" s="9"/>
      <c r="R44" s="9"/>
      <c r="S44" s="9"/>
      <c r="T44" s="9"/>
      <c r="U44" s="8"/>
      <c r="V44" s="8"/>
      <c r="W44" s="8"/>
      <c r="X44" s="8"/>
      <c r="Y44" s="10"/>
      <c r="Z44" s="72"/>
      <c r="AA44" s="72"/>
      <c r="AB44" s="72"/>
      <c r="AC44" s="6"/>
      <c r="AE44" s="37"/>
      <c r="AF44" s="151"/>
      <c r="AG44" s="151"/>
      <c r="AH44" s="151"/>
      <c r="AI44" s="37"/>
    </row>
    <row r="45" spans="1:43" s="11" customFormat="1" x14ac:dyDescent="0.2">
      <c r="A45" s="23" t="s">
        <v>4</v>
      </c>
      <c r="B45" s="24">
        <f>MIN(B11,B17,B37,B43)</f>
        <v>46153</v>
      </c>
      <c r="C45" s="25">
        <f>MAX(C11,C17,C37,C43)</f>
        <v>46243</v>
      </c>
      <c r="D45" s="26">
        <f>D37</f>
        <v>29</v>
      </c>
      <c r="E45" s="87">
        <f t="shared" ref="E45:J45" si="50">E11+E17+E37+E43</f>
        <v>72</v>
      </c>
      <c r="F45" s="87">
        <f t="shared" si="50"/>
        <v>59</v>
      </c>
      <c r="G45" s="87">
        <f t="shared" si="50"/>
        <v>60</v>
      </c>
      <c r="H45" s="87">
        <f t="shared" si="50"/>
        <v>68</v>
      </c>
      <c r="I45" s="88">
        <f t="shared" si="50"/>
        <v>79</v>
      </c>
      <c r="J45" s="89">
        <f t="shared" si="50"/>
        <v>338</v>
      </c>
      <c r="K45" s="73">
        <f>tarif*J45</f>
        <v>37180</v>
      </c>
      <c r="L45" s="27"/>
      <c r="M45" s="64">
        <f>MAX(M11,M17,M37,M43)</f>
        <v>46188</v>
      </c>
      <c r="N45" s="65">
        <f>M45-C45</f>
        <v>-55</v>
      </c>
      <c r="O45" s="26">
        <f>O37</f>
        <v>0</v>
      </c>
      <c r="P45" s="58">
        <f t="shared" ref="P45:W45" si="51">P11+P17+P37+P43</f>
        <v>16</v>
      </c>
      <c r="Q45" s="58">
        <f t="shared" si="51"/>
        <v>11</v>
      </c>
      <c r="R45" s="58">
        <f t="shared" si="51"/>
        <v>12</v>
      </c>
      <c r="S45" s="58">
        <f t="shared" si="51"/>
        <v>15</v>
      </c>
      <c r="T45" s="58">
        <f t="shared" si="51"/>
        <v>14</v>
      </c>
      <c r="U45" s="58">
        <f t="shared" si="51"/>
        <v>68</v>
      </c>
      <c r="V45" s="58">
        <f t="shared" si="51"/>
        <v>270</v>
      </c>
      <c r="W45" s="58">
        <f t="shared" si="51"/>
        <v>338</v>
      </c>
      <c r="X45" s="58"/>
      <c r="Y45" s="58">
        <f>Y11+Y17+Y37+Y43</f>
        <v>0</v>
      </c>
      <c r="Z45" s="73">
        <f>Z11+Z17+Z37+Z43</f>
        <v>7480</v>
      </c>
      <c r="AA45" s="73">
        <f>AA11+AA17+AA37+AA43</f>
        <v>37180</v>
      </c>
      <c r="AB45" s="73">
        <f>Z45-K45</f>
        <v>-29700</v>
      </c>
      <c r="AC45" s="63"/>
      <c r="AD45" s="28"/>
      <c r="AE45" s="2"/>
      <c r="AF45" s="3"/>
      <c r="AG45" s="3"/>
      <c r="AH45" s="3"/>
      <c r="AI45" s="2"/>
      <c r="AJ45" s="28"/>
      <c r="AK45" s="28"/>
      <c r="AL45" s="28"/>
      <c r="AM45" s="28"/>
      <c r="AN45" s="28"/>
      <c r="AO45" s="28"/>
      <c r="AP45" s="28"/>
      <c r="AQ45" s="28"/>
    </row>
    <row r="46" spans="1:43" x14ac:dyDescent="0.2">
      <c r="J46" s="4"/>
      <c r="K46" s="79"/>
      <c r="L46" s="4"/>
      <c r="M46" s="17"/>
      <c r="N46" s="4"/>
      <c r="O46" s="4"/>
      <c r="U46" s="4"/>
      <c r="V46" s="4"/>
      <c r="W46" s="4"/>
      <c r="X46" s="4"/>
      <c r="AE46" s="28"/>
      <c r="AF46" s="54"/>
      <c r="AG46" s="54"/>
      <c r="AH46" s="54"/>
      <c r="AI46" s="28"/>
    </row>
    <row r="47" spans="1:43" ht="12.75" x14ac:dyDescent="0.2">
      <c r="A47" s="80" t="s">
        <v>40</v>
      </c>
      <c r="B47" s="81">
        <v>110</v>
      </c>
      <c r="J47" s="4"/>
      <c r="K47" s="79"/>
      <c r="L47" s="4"/>
      <c r="M47" s="17"/>
      <c r="N47" s="4"/>
      <c r="O47" s="4"/>
      <c r="U47" s="4"/>
      <c r="V47" s="4"/>
      <c r="W47" s="4"/>
      <c r="X47" s="4"/>
    </row>
    <row r="48" spans="1:43" ht="12.75" x14ac:dyDescent="0.2">
      <c r="J48" s="4"/>
      <c r="K48" s="79"/>
      <c r="L48" s="4"/>
      <c r="M48" s="17"/>
      <c r="N48" s="4"/>
      <c r="O48" s="4"/>
      <c r="U48" s="4"/>
      <c r="V48" s="4"/>
      <c r="W48" s="4"/>
      <c r="X48" s="4"/>
    </row>
    <row r="49" spans="1:24" ht="12.75" x14ac:dyDescent="0.2">
      <c r="A49" s="92" t="s">
        <v>50</v>
      </c>
      <c r="J49" s="4"/>
      <c r="K49" s="79"/>
      <c r="L49" s="4"/>
      <c r="M49" s="17"/>
      <c r="N49" s="4"/>
      <c r="O49" s="4"/>
      <c r="U49" s="4"/>
      <c r="V49" s="4"/>
      <c r="W49" s="4"/>
      <c r="X49" s="4"/>
    </row>
    <row r="50" spans="1:24" ht="12.75" x14ac:dyDescent="0.2">
      <c r="A50" s="143" t="s">
        <v>51</v>
      </c>
      <c r="J50" s="4"/>
      <c r="K50" s="79"/>
      <c r="L50" s="4"/>
      <c r="M50" s="17"/>
      <c r="N50" s="4"/>
      <c r="O50" s="4"/>
      <c r="U50" s="4"/>
      <c r="V50" s="4"/>
      <c r="W50" s="4"/>
      <c r="X50" s="4"/>
    </row>
    <row r="51" spans="1:24" ht="12.75" x14ac:dyDescent="0.2">
      <c r="A51" s="144" t="s">
        <v>52</v>
      </c>
      <c r="J51" s="4"/>
      <c r="K51" s="79"/>
      <c r="L51" s="4"/>
      <c r="M51" s="17"/>
      <c r="N51" s="4"/>
      <c r="O51" s="4"/>
      <c r="U51" s="4"/>
      <c r="V51" s="4"/>
      <c r="W51" s="4"/>
      <c r="X51" s="4"/>
    </row>
    <row r="52" spans="1:24" ht="12.75" x14ac:dyDescent="0.2">
      <c r="A52" s="145" t="s">
        <v>54</v>
      </c>
      <c r="J52" s="4"/>
      <c r="K52" s="79"/>
      <c r="L52" s="4"/>
      <c r="M52" s="17"/>
      <c r="N52" s="4"/>
      <c r="O52" s="4"/>
      <c r="U52" s="4"/>
      <c r="V52" s="4"/>
      <c r="W52" s="4"/>
      <c r="X52" s="4"/>
    </row>
    <row r="53" spans="1:24" ht="12.75" x14ac:dyDescent="0.2">
      <c r="A53" s="146" t="s">
        <v>53</v>
      </c>
      <c r="J53" s="4"/>
      <c r="K53" s="79"/>
      <c r="L53" s="4"/>
      <c r="M53" s="17"/>
      <c r="N53" s="4"/>
      <c r="O53" s="4"/>
      <c r="U53" s="4"/>
      <c r="V53" s="4"/>
      <c r="W53" s="4"/>
      <c r="X53" s="4"/>
    </row>
    <row r="54" spans="1:24" ht="12.75" x14ac:dyDescent="0.2">
      <c r="J54" s="4"/>
      <c r="K54" s="79"/>
      <c r="L54" s="4"/>
      <c r="M54" s="17"/>
      <c r="N54" s="4"/>
      <c r="O54" s="4"/>
      <c r="U54" s="4"/>
      <c r="V54" s="4"/>
      <c r="W54" s="4"/>
      <c r="X54" s="4"/>
    </row>
    <row r="55" spans="1:24" ht="12.75" x14ac:dyDescent="0.2">
      <c r="J55" s="4"/>
      <c r="K55" s="79"/>
      <c r="L55" s="4"/>
      <c r="M55" s="17"/>
      <c r="N55" s="4"/>
      <c r="O55" s="4"/>
      <c r="U55" s="4"/>
      <c r="V55" s="4"/>
      <c r="W55" s="4"/>
      <c r="X55" s="4"/>
    </row>
    <row r="56" spans="1:24" ht="12.75" x14ac:dyDescent="0.2">
      <c r="J56" s="4"/>
      <c r="K56" s="79"/>
      <c r="L56" s="4"/>
      <c r="M56" s="17"/>
      <c r="N56" s="4"/>
      <c r="O56" s="4"/>
      <c r="U56" s="4"/>
      <c r="V56" s="4"/>
      <c r="W56" s="4"/>
      <c r="X56" s="4"/>
    </row>
    <row r="57" spans="1:24" ht="12.75" x14ac:dyDescent="0.2">
      <c r="J57" s="4"/>
      <c r="K57" s="79"/>
      <c r="L57" s="4"/>
      <c r="M57" s="17"/>
      <c r="N57" s="4"/>
      <c r="O57" s="4"/>
      <c r="U57" s="4"/>
      <c r="V57" s="4"/>
      <c r="W57" s="4"/>
      <c r="X57" s="4"/>
    </row>
    <row r="58" spans="1:24" ht="12.75" x14ac:dyDescent="0.2">
      <c r="J58" s="4"/>
      <c r="K58" s="79"/>
      <c r="L58" s="4"/>
      <c r="M58" s="17"/>
      <c r="N58" s="4"/>
      <c r="O58" s="4"/>
      <c r="U58" s="4"/>
      <c r="V58" s="4"/>
      <c r="W58" s="4"/>
      <c r="X58" s="4"/>
    </row>
    <row r="59" spans="1:24" ht="12.75" x14ac:dyDescent="0.2">
      <c r="J59" s="4"/>
      <c r="K59" s="79"/>
      <c r="L59" s="4"/>
      <c r="M59" s="17"/>
      <c r="N59" s="4"/>
      <c r="O59" s="4"/>
      <c r="U59" s="4"/>
      <c r="V59" s="4"/>
      <c r="W59" s="4"/>
      <c r="X59" s="4"/>
    </row>
    <row r="60" spans="1:24" ht="12.75" x14ac:dyDescent="0.2">
      <c r="J60" s="4"/>
      <c r="K60" s="79"/>
      <c r="L60" s="4"/>
      <c r="M60" s="17"/>
      <c r="N60" s="4"/>
      <c r="O60" s="4"/>
      <c r="U60" s="4"/>
      <c r="V60" s="4"/>
      <c r="W60" s="4"/>
      <c r="X60" s="4"/>
    </row>
    <row r="61" spans="1:24" ht="12.75" x14ac:dyDescent="0.2">
      <c r="J61" s="4"/>
      <c r="K61" s="79"/>
      <c r="L61" s="4"/>
      <c r="M61" s="17"/>
      <c r="N61" s="4"/>
      <c r="O61" s="4"/>
      <c r="U61" s="4"/>
      <c r="V61" s="4"/>
      <c r="W61" s="4"/>
      <c r="X61" s="4"/>
    </row>
    <row r="62" spans="1:24" ht="12.75" x14ac:dyDescent="0.2">
      <c r="J62" s="4"/>
      <c r="K62" s="79"/>
      <c r="L62" s="4"/>
      <c r="M62" s="17"/>
      <c r="N62" s="4"/>
      <c r="O62" s="4"/>
      <c r="U62" s="4"/>
      <c r="V62" s="4"/>
      <c r="W62" s="4"/>
      <c r="X62" s="4"/>
    </row>
    <row r="63" spans="1:24" ht="12.75" x14ac:dyDescent="0.2">
      <c r="J63" s="4"/>
      <c r="K63" s="79"/>
      <c r="L63" s="4"/>
      <c r="M63" s="17"/>
      <c r="N63" s="4"/>
      <c r="O63" s="4"/>
      <c r="U63" s="4"/>
      <c r="V63" s="4"/>
      <c r="W63" s="4"/>
      <c r="X63" s="4"/>
    </row>
    <row r="64" spans="1:24" ht="12.75" x14ac:dyDescent="0.2">
      <c r="J64" s="4"/>
      <c r="K64" s="79"/>
      <c r="L64" s="4"/>
      <c r="M64" s="17"/>
      <c r="N64" s="4"/>
      <c r="O64" s="4"/>
      <c r="U64" s="4"/>
      <c r="V64" s="4"/>
      <c r="W64" s="4"/>
      <c r="X64" s="4"/>
    </row>
    <row r="65" spans="10:24" ht="12.75" x14ac:dyDescent="0.2">
      <c r="J65" s="4"/>
      <c r="K65" s="79"/>
      <c r="L65" s="4"/>
      <c r="M65" s="17"/>
      <c r="N65" s="4"/>
      <c r="O65" s="4"/>
      <c r="U65" s="4"/>
      <c r="V65" s="4"/>
      <c r="W65" s="4"/>
      <c r="X65" s="4"/>
    </row>
    <row r="66" spans="10:24" ht="12.75" x14ac:dyDescent="0.2">
      <c r="J66" s="4"/>
      <c r="K66" s="79"/>
      <c r="L66" s="4"/>
      <c r="M66" s="17"/>
      <c r="N66" s="4"/>
      <c r="O66" s="4"/>
      <c r="U66" s="4"/>
      <c r="V66" s="4"/>
      <c r="W66" s="4"/>
      <c r="X66" s="4"/>
    </row>
    <row r="67" spans="10:24" ht="12.75" x14ac:dyDescent="0.2">
      <c r="J67" s="4"/>
      <c r="K67" s="79"/>
      <c r="L67" s="4"/>
      <c r="M67" s="17"/>
      <c r="N67" s="4"/>
      <c r="O67" s="4"/>
      <c r="U67" s="4"/>
      <c r="V67" s="4"/>
      <c r="W67" s="4"/>
      <c r="X67" s="4"/>
    </row>
    <row r="68" spans="10:24" ht="12.75" x14ac:dyDescent="0.2">
      <c r="J68" s="4"/>
      <c r="K68" s="79"/>
      <c r="L68" s="4"/>
      <c r="M68" s="17"/>
      <c r="N68" s="4"/>
      <c r="O68" s="4"/>
      <c r="U68" s="4"/>
      <c r="V68" s="4"/>
      <c r="W68" s="4"/>
      <c r="X68" s="4"/>
    </row>
    <row r="69" spans="10:24" ht="12.75" x14ac:dyDescent="0.2">
      <c r="J69" s="4"/>
      <c r="K69" s="79"/>
      <c r="L69" s="4"/>
      <c r="M69" s="17"/>
      <c r="N69" s="4"/>
      <c r="O69" s="4"/>
      <c r="U69" s="4"/>
      <c r="V69" s="4"/>
      <c r="W69" s="4"/>
      <c r="X69" s="4"/>
    </row>
    <row r="70" spans="10:24" ht="12.75" x14ac:dyDescent="0.2">
      <c r="J70" s="4"/>
      <c r="K70" s="79"/>
      <c r="L70" s="4"/>
      <c r="M70" s="17"/>
      <c r="N70" s="4"/>
      <c r="O70" s="4"/>
      <c r="U70" s="4"/>
      <c r="V70" s="4"/>
      <c r="W70" s="4"/>
      <c r="X70" s="4"/>
    </row>
    <row r="71" spans="10:24" ht="12.75" x14ac:dyDescent="0.2">
      <c r="J71" s="4"/>
      <c r="K71" s="79"/>
      <c r="L71" s="4"/>
      <c r="M71" s="17"/>
      <c r="N71" s="4"/>
      <c r="O71" s="4"/>
      <c r="U71" s="4"/>
      <c r="V71" s="4"/>
      <c r="W71" s="4"/>
      <c r="X71" s="4"/>
    </row>
    <row r="72" spans="10:24" ht="12.75" x14ac:dyDescent="0.2">
      <c r="J72" s="4"/>
      <c r="K72" s="79"/>
      <c r="L72" s="4"/>
      <c r="M72" s="17"/>
      <c r="N72" s="4"/>
      <c r="O72" s="4"/>
      <c r="U72" s="4"/>
      <c r="V72" s="4"/>
      <c r="W72" s="4"/>
      <c r="X72" s="4"/>
    </row>
    <row r="73" spans="10:24" ht="12.75" x14ac:dyDescent="0.2">
      <c r="J73" s="4"/>
      <c r="K73" s="79"/>
      <c r="L73" s="4"/>
      <c r="M73" s="17"/>
      <c r="N73" s="4"/>
      <c r="O73" s="4"/>
      <c r="U73" s="4"/>
      <c r="V73" s="4"/>
      <c r="W73" s="4"/>
      <c r="X73" s="4"/>
    </row>
    <row r="74" spans="10:24" ht="12.75" x14ac:dyDescent="0.2">
      <c r="J74" s="4"/>
      <c r="K74" s="79"/>
      <c r="L74" s="4"/>
      <c r="M74" s="17"/>
      <c r="N74" s="4"/>
      <c r="O74" s="4"/>
      <c r="U74" s="4"/>
      <c r="V74" s="4"/>
      <c r="W74" s="4"/>
      <c r="X74" s="4"/>
    </row>
    <row r="75" spans="10:24" ht="12.75" x14ac:dyDescent="0.2">
      <c r="J75" s="4"/>
      <c r="K75" s="79"/>
      <c r="L75" s="4"/>
      <c r="M75" s="17"/>
      <c r="N75" s="4"/>
      <c r="O75" s="4"/>
      <c r="U75" s="4"/>
      <c r="V75" s="4"/>
      <c r="W75" s="4"/>
      <c r="X75" s="4"/>
    </row>
    <row r="76" spans="10:24" ht="12.75" x14ac:dyDescent="0.2">
      <c r="J76" s="4"/>
      <c r="K76" s="79"/>
      <c r="L76" s="4"/>
      <c r="M76" s="17"/>
      <c r="N76" s="4"/>
      <c r="O76" s="4"/>
      <c r="U76" s="4"/>
      <c r="V76" s="4"/>
      <c r="W76" s="4"/>
      <c r="X76" s="4"/>
    </row>
    <row r="77" spans="10:24" ht="12.75" x14ac:dyDescent="0.2">
      <c r="J77" s="4"/>
      <c r="K77" s="79"/>
      <c r="L77" s="4"/>
      <c r="M77" s="17"/>
      <c r="N77" s="4"/>
      <c r="O77" s="4"/>
      <c r="U77" s="4"/>
      <c r="V77" s="4"/>
      <c r="W77" s="4"/>
      <c r="X77" s="4"/>
    </row>
    <row r="78" spans="10:24" ht="12.75" x14ac:dyDescent="0.2">
      <c r="J78" s="4"/>
      <c r="K78" s="79"/>
      <c r="L78" s="4"/>
      <c r="M78" s="17"/>
      <c r="N78" s="4"/>
      <c r="O78" s="4"/>
      <c r="U78" s="4"/>
      <c r="V78" s="4"/>
      <c r="W78" s="4"/>
      <c r="X78" s="4"/>
    </row>
    <row r="79" spans="10:24" ht="12.75" x14ac:dyDescent="0.2">
      <c r="J79" s="4"/>
      <c r="K79" s="79"/>
      <c r="L79" s="4"/>
      <c r="M79" s="17"/>
      <c r="N79" s="4"/>
      <c r="O79" s="4"/>
      <c r="U79" s="4"/>
      <c r="V79" s="4"/>
      <c r="W79" s="4"/>
      <c r="X79" s="4"/>
    </row>
    <row r="80" spans="10:24" ht="12.75" x14ac:dyDescent="0.2">
      <c r="J80" s="4"/>
      <c r="K80" s="79"/>
      <c r="L80" s="4"/>
      <c r="M80" s="17"/>
      <c r="N80" s="4"/>
      <c r="O80" s="4"/>
      <c r="U80" s="4"/>
      <c r="V80" s="4"/>
      <c r="W80" s="4"/>
      <c r="X80" s="4"/>
    </row>
    <row r="81" spans="10:24" ht="12.75" x14ac:dyDescent="0.2">
      <c r="J81" s="4"/>
      <c r="K81" s="79"/>
      <c r="L81" s="4"/>
      <c r="M81" s="17"/>
      <c r="N81" s="4"/>
      <c r="O81" s="4"/>
      <c r="U81" s="4"/>
      <c r="V81" s="4"/>
      <c r="W81" s="4"/>
      <c r="X81" s="4"/>
    </row>
    <row r="82" spans="10:24" ht="12.75" x14ac:dyDescent="0.2">
      <c r="J82" s="4"/>
      <c r="K82" s="79"/>
      <c r="L82" s="4"/>
      <c r="M82" s="17"/>
      <c r="N82" s="4"/>
      <c r="O82" s="4"/>
      <c r="U82" s="4"/>
      <c r="V82" s="4"/>
      <c r="W82" s="4"/>
      <c r="X82" s="4"/>
    </row>
    <row r="83" spans="10:24" ht="12.75" x14ac:dyDescent="0.2">
      <c r="J83" s="4"/>
      <c r="K83" s="79"/>
      <c r="L83" s="4"/>
      <c r="M83" s="17"/>
      <c r="N83" s="4"/>
      <c r="O83" s="4"/>
      <c r="U83" s="4"/>
      <c r="V83" s="4"/>
      <c r="W83" s="4"/>
      <c r="X83" s="4"/>
    </row>
    <row r="84" spans="10:24" ht="12.75" x14ac:dyDescent="0.2">
      <c r="J84" s="4"/>
      <c r="K84" s="79"/>
      <c r="L84" s="4"/>
      <c r="M84" s="17"/>
      <c r="N84" s="4"/>
      <c r="O84" s="4"/>
      <c r="U84" s="4"/>
      <c r="V84" s="4"/>
      <c r="W84" s="4"/>
      <c r="X84" s="4"/>
    </row>
    <row r="85" spans="10:24" ht="12.75" x14ac:dyDescent="0.2">
      <c r="J85" s="4"/>
      <c r="K85" s="79"/>
      <c r="L85" s="4"/>
      <c r="M85" s="17"/>
      <c r="N85" s="4"/>
      <c r="O85" s="4"/>
      <c r="U85" s="4"/>
      <c r="V85" s="4"/>
      <c r="W85" s="4"/>
      <c r="X85" s="4"/>
    </row>
    <row r="86" spans="10:24" ht="12.75" x14ac:dyDescent="0.2">
      <c r="J86" s="4"/>
      <c r="K86" s="79"/>
      <c r="L86" s="4"/>
      <c r="M86" s="17"/>
      <c r="N86" s="4"/>
      <c r="O86" s="4"/>
      <c r="U86" s="4"/>
      <c r="V86" s="4"/>
      <c r="W86" s="4"/>
      <c r="X86" s="4"/>
    </row>
    <row r="87" spans="10:24" ht="12.75" x14ac:dyDescent="0.2">
      <c r="J87" s="4"/>
      <c r="K87" s="79"/>
      <c r="L87" s="4"/>
      <c r="M87" s="17"/>
      <c r="N87" s="4"/>
      <c r="O87" s="4"/>
      <c r="U87" s="4"/>
      <c r="V87" s="4"/>
      <c r="W87" s="4"/>
      <c r="X87" s="4"/>
    </row>
    <row r="88" spans="10:24" ht="12.75" x14ac:dyDescent="0.2">
      <c r="J88" s="4"/>
      <c r="K88" s="79"/>
      <c r="L88" s="4"/>
      <c r="M88" s="17"/>
      <c r="N88" s="4"/>
      <c r="O88" s="4"/>
      <c r="U88" s="4"/>
      <c r="V88" s="4"/>
      <c r="W88" s="4"/>
      <c r="X88" s="4"/>
    </row>
    <row r="89" spans="10:24" ht="12.75" x14ac:dyDescent="0.2">
      <c r="J89" s="4"/>
      <c r="K89" s="79"/>
      <c r="L89" s="4"/>
      <c r="M89" s="17"/>
      <c r="N89" s="4"/>
      <c r="O89" s="4"/>
      <c r="U89" s="4"/>
      <c r="V89" s="4"/>
      <c r="W89" s="4"/>
      <c r="X89" s="4"/>
    </row>
    <row r="90" spans="10:24" ht="12.75" x14ac:dyDescent="0.2">
      <c r="J90" s="4"/>
      <c r="K90" s="79"/>
      <c r="L90" s="4"/>
      <c r="M90" s="17"/>
      <c r="N90" s="4"/>
      <c r="O90" s="4"/>
      <c r="U90" s="4"/>
      <c r="V90" s="4"/>
      <c r="W90" s="4"/>
      <c r="X90" s="4"/>
    </row>
    <row r="91" spans="10:24" ht="12.75" x14ac:dyDescent="0.2">
      <c r="J91" s="4"/>
      <c r="K91" s="79"/>
      <c r="L91" s="4"/>
      <c r="M91" s="17"/>
      <c r="N91" s="4"/>
      <c r="O91" s="4"/>
      <c r="U91" s="4"/>
      <c r="V91" s="4"/>
      <c r="W91" s="4"/>
      <c r="X91" s="4"/>
    </row>
    <row r="92" spans="10:24" ht="12.75" x14ac:dyDescent="0.2">
      <c r="J92" s="4"/>
      <c r="K92" s="79"/>
      <c r="L92" s="4"/>
      <c r="M92" s="17"/>
      <c r="N92" s="4"/>
      <c r="O92" s="4"/>
      <c r="U92" s="4"/>
      <c r="V92" s="4"/>
      <c r="W92" s="4"/>
      <c r="X92" s="4"/>
    </row>
    <row r="93" spans="10:24" ht="12.75" x14ac:dyDescent="0.2">
      <c r="J93" s="4"/>
      <c r="K93" s="79"/>
      <c r="L93" s="4"/>
      <c r="M93" s="17"/>
      <c r="N93" s="4"/>
      <c r="O93" s="4"/>
      <c r="U93" s="4"/>
      <c r="V93" s="4"/>
      <c r="W93" s="4"/>
      <c r="X93" s="4"/>
    </row>
    <row r="94" spans="10:24" ht="12.75" x14ac:dyDescent="0.2">
      <c r="J94" s="4"/>
      <c r="K94" s="79"/>
      <c r="L94" s="4"/>
      <c r="M94" s="17"/>
      <c r="N94" s="4"/>
      <c r="O94" s="4"/>
      <c r="U94" s="4"/>
      <c r="V94" s="4"/>
      <c r="W94" s="4"/>
      <c r="X94" s="4"/>
    </row>
    <row r="95" spans="10:24" ht="12.75" x14ac:dyDescent="0.2">
      <c r="J95" s="4"/>
      <c r="K95" s="79"/>
      <c r="L95" s="4"/>
      <c r="M95" s="17"/>
      <c r="N95" s="4"/>
      <c r="O95" s="4"/>
      <c r="U95" s="4"/>
      <c r="V95" s="4"/>
      <c r="W95" s="4"/>
      <c r="X95" s="4"/>
    </row>
    <row r="96" spans="10:24" ht="12.75" x14ac:dyDescent="0.2">
      <c r="J96" s="4"/>
      <c r="K96" s="79"/>
      <c r="L96" s="4"/>
      <c r="M96" s="17"/>
      <c r="N96" s="4"/>
      <c r="O96" s="4"/>
      <c r="U96" s="4"/>
      <c r="V96" s="4"/>
      <c r="W96" s="4"/>
      <c r="X96" s="4"/>
    </row>
    <row r="97" spans="10:24" ht="12.75" x14ac:dyDescent="0.2">
      <c r="J97" s="4"/>
      <c r="K97" s="79"/>
      <c r="L97" s="4"/>
      <c r="M97" s="17"/>
      <c r="N97" s="4"/>
      <c r="O97" s="4"/>
      <c r="U97" s="4"/>
      <c r="V97" s="4"/>
      <c r="W97" s="4"/>
      <c r="X97" s="4"/>
    </row>
    <row r="98" spans="10:24" ht="12.75" x14ac:dyDescent="0.2">
      <c r="J98" s="4"/>
      <c r="K98" s="79"/>
      <c r="L98" s="4"/>
      <c r="M98" s="17"/>
      <c r="N98" s="4"/>
      <c r="O98" s="4"/>
      <c r="U98" s="4"/>
      <c r="V98" s="4"/>
      <c r="W98" s="4"/>
      <c r="X98" s="4"/>
    </row>
    <row r="99" spans="10:24" ht="12.75" x14ac:dyDescent="0.2">
      <c r="J99" s="4"/>
      <c r="K99" s="79"/>
      <c r="L99" s="4"/>
      <c r="M99" s="17"/>
      <c r="N99" s="4"/>
      <c r="O99" s="4"/>
      <c r="U99" s="4"/>
      <c r="V99" s="4"/>
      <c r="W99" s="4"/>
      <c r="X99" s="4"/>
    </row>
    <row r="100" spans="10:24" ht="12.75" x14ac:dyDescent="0.2">
      <c r="J100" s="4"/>
      <c r="K100" s="79"/>
      <c r="L100" s="4"/>
      <c r="M100" s="17"/>
      <c r="N100" s="4"/>
      <c r="O100" s="4"/>
      <c r="U100" s="4"/>
      <c r="V100" s="4"/>
      <c r="W100" s="4"/>
      <c r="X100" s="4"/>
    </row>
    <row r="101" spans="10:24" ht="12.75" x14ac:dyDescent="0.2">
      <c r="J101" s="4"/>
      <c r="K101" s="79"/>
      <c r="L101" s="4"/>
      <c r="M101" s="17"/>
      <c r="N101" s="4"/>
      <c r="O101" s="4"/>
      <c r="U101" s="4"/>
      <c r="V101" s="4"/>
      <c r="W101" s="4"/>
      <c r="X101" s="4"/>
    </row>
    <row r="102" spans="10:24" ht="12.75" x14ac:dyDescent="0.2">
      <c r="J102" s="4"/>
      <c r="K102" s="79"/>
      <c r="L102" s="4"/>
      <c r="M102" s="17"/>
      <c r="N102" s="4"/>
      <c r="O102" s="4"/>
      <c r="U102" s="4"/>
      <c r="V102" s="4"/>
      <c r="W102" s="4"/>
      <c r="X102" s="4"/>
    </row>
    <row r="103" spans="10:24" ht="12.75" x14ac:dyDescent="0.2">
      <c r="J103" s="4"/>
      <c r="K103" s="79"/>
      <c r="L103" s="4"/>
      <c r="M103" s="17"/>
      <c r="N103" s="4"/>
      <c r="O103" s="4"/>
      <c r="U103" s="4"/>
      <c r="V103" s="4"/>
      <c r="W103" s="4"/>
      <c r="X103" s="4"/>
    </row>
    <row r="104" spans="10:24" ht="12.75" x14ac:dyDescent="0.2">
      <c r="J104" s="4"/>
      <c r="K104" s="79"/>
      <c r="L104" s="4"/>
      <c r="M104" s="17"/>
      <c r="N104" s="4"/>
      <c r="O104" s="4"/>
      <c r="U104" s="4"/>
      <c r="V104" s="4"/>
      <c r="W104" s="4"/>
      <c r="X104" s="4"/>
    </row>
    <row r="105" spans="10:24" ht="12.75" x14ac:dyDescent="0.2">
      <c r="J105" s="4"/>
      <c r="K105" s="79"/>
      <c r="L105" s="4"/>
      <c r="M105" s="17"/>
      <c r="N105" s="4"/>
      <c r="O105" s="4"/>
      <c r="U105" s="4"/>
      <c r="V105" s="4"/>
      <c r="W105" s="4"/>
      <c r="X105" s="4"/>
    </row>
    <row r="106" spans="10:24" ht="12.75" x14ac:dyDescent="0.2">
      <c r="J106" s="4"/>
      <c r="K106" s="79"/>
      <c r="L106" s="4"/>
      <c r="M106" s="17"/>
      <c r="N106" s="4"/>
      <c r="O106" s="4"/>
      <c r="U106" s="4"/>
      <c r="V106" s="4"/>
      <c r="W106" s="4"/>
      <c r="X106" s="4"/>
    </row>
    <row r="107" spans="10:24" ht="12.75" x14ac:dyDescent="0.2">
      <c r="J107" s="4"/>
      <c r="K107" s="79"/>
      <c r="L107" s="4"/>
      <c r="M107" s="17"/>
      <c r="N107" s="4"/>
      <c r="O107" s="4"/>
      <c r="U107" s="4"/>
      <c r="V107" s="4"/>
      <c r="W107" s="4"/>
      <c r="X107" s="4"/>
    </row>
    <row r="108" spans="10:24" ht="12.75" x14ac:dyDescent="0.2">
      <c r="J108" s="4"/>
      <c r="K108" s="79"/>
      <c r="L108" s="4"/>
      <c r="M108" s="17"/>
      <c r="N108" s="4"/>
      <c r="O108" s="4"/>
      <c r="U108" s="4"/>
      <c r="V108" s="4"/>
      <c r="W108" s="4"/>
      <c r="X108" s="4"/>
    </row>
    <row r="109" spans="10:24" ht="12.75" x14ac:dyDescent="0.2">
      <c r="J109" s="4"/>
      <c r="K109" s="79"/>
      <c r="L109" s="4"/>
      <c r="M109" s="17"/>
      <c r="N109" s="4"/>
      <c r="O109" s="4"/>
      <c r="U109" s="4"/>
      <c r="V109" s="4"/>
      <c r="W109" s="4"/>
      <c r="X109" s="4"/>
    </row>
    <row r="110" spans="10:24" ht="12.75" x14ac:dyDescent="0.2">
      <c r="J110" s="4"/>
      <c r="K110" s="79"/>
      <c r="L110" s="4"/>
      <c r="M110" s="17"/>
      <c r="N110" s="4"/>
      <c r="O110" s="4"/>
      <c r="U110" s="4"/>
      <c r="V110" s="4"/>
      <c r="W110" s="4"/>
      <c r="X110" s="4"/>
    </row>
    <row r="111" spans="10:24" ht="12.75" x14ac:dyDescent="0.2">
      <c r="J111" s="4"/>
      <c r="K111" s="79"/>
      <c r="L111" s="4"/>
      <c r="M111" s="17"/>
      <c r="N111" s="4"/>
      <c r="O111" s="4"/>
      <c r="U111" s="4"/>
      <c r="V111" s="4"/>
      <c r="W111" s="4"/>
      <c r="X111" s="4"/>
    </row>
    <row r="112" spans="10:24" ht="12.75" x14ac:dyDescent="0.2">
      <c r="J112" s="4"/>
      <c r="K112" s="79"/>
      <c r="L112" s="4"/>
      <c r="M112" s="17"/>
      <c r="N112" s="4"/>
      <c r="O112" s="4"/>
      <c r="U112" s="4"/>
      <c r="V112" s="4"/>
      <c r="W112" s="4"/>
      <c r="X112" s="4"/>
    </row>
    <row r="113" spans="10:24" ht="12.75" x14ac:dyDescent="0.2">
      <c r="J113" s="4"/>
      <c r="K113" s="79"/>
      <c r="L113" s="4"/>
      <c r="M113" s="17"/>
      <c r="N113" s="4"/>
      <c r="O113" s="4"/>
      <c r="U113" s="4"/>
      <c r="V113" s="4"/>
      <c r="W113" s="4"/>
      <c r="X113" s="4"/>
    </row>
    <row r="114" spans="10:24" ht="12.75" x14ac:dyDescent="0.2">
      <c r="J114" s="4"/>
      <c r="K114" s="79"/>
      <c r="L114" s="4"/>
      <c r="M114" s="17"/>
      <c r="N114" s="4"/>
      <c r="O114" s="4"/>
      <c r="U114" s="4"/>
      <c r="V114" s="4"/>
      <c r="W114" s="4"/>
      <c r="X114" s="4"/>
    </row>
    <row r="115" spans="10:24" ht="12.75" x14ac:dyDescent="0.2">
      <c r="J115" s="4"/>
      <c r="K115" s="79"/>
      <c r="L115" s="4"/>
      <c r="M115" s="17"/>
      <c r="N115" s="4"/>
      <c r="O115" s="4"/>
      <c r="U115" s="4"/>
      <c r="V115" s="4"/>
      <c r="W115" s="4"/>
      <c r="X115" s="4"/>
    </row>
    <row r="116" spans="10:24" ht="12.75" x14ac:dyDescent="0.2">
      <c r="J116" s="4"/>
      <c r="K116" s="79"/>
      <c r="L116" s="4"/>
      <c r="M116" s="17"/>
      <c r="N116" s="4"/>
      <c r="O116" s="4"/>
      <c r="U116" s="4"/>
      <c r="V116" s="4"/>
      <c r="W116" s="4"/>
      <c r="X116" s="4"/>
    </row>
    <row r="117" spans="10:24" ht="12.75" x14ac:dyDescent="0.2">
      <c r="J117" s="4"/>
      <c r="K117" s="79"/>
      <c r="L117" s="4"/>
      <c r="M117" s="17"/>
      <c r="N117" s="4"/>
      <c r="O117" s="4"/>
      <c r="U117" s="4"/>
      <c r="V117" s="4"/>
      <c r="W117" s="4"/>
      <c r="X117" s="4"/>
    </row>
    <row r="118" spans="10:24" ht="12.75" x14ac:dyDescent="0.2">
      <c r="J118" s="4"/>
      <c r="K118" s="79"/>
      <c r="L118" s="4"/>
      <c r="M118" s="17"/>
      <c r="N118" s="4"/>
      <c r="O118" s="4"/>
      <c r="U118" s="4"/>
      <c r="V118" s="4"/>
      <c r="W118" s="4"/>
      <c r="X118" s="4"/>
    </row>
    <row r="119" spans="10:24" ht="12.75" x14ac:dyDescent="0.2">
      <c r="J119" s="4"/>
      <c r="K119" s="79"/>
      <c r="L119" s="4"/>
      <c r="M119" s="17"/>
      <c r="N119" s="4"/>
      <c r="O119" s="4"/>
      <c r="U119" s="4"/>
      <c r="V119" s="4"/>
      <c r="W119" s="4"/>
      <c r="X119" s="4"/>
    </row>
    <row r="120" spans="10:24" ht="12.75" x14ac:dyDescent="0.2">
      <c r="J120" s="4"/>
      <c r="K120" s="79"/>
      <c r="L120" s="4"/>
      <c r="M120" s="17"/>
      <c r="N120" s="4"/>
      <c r="O120" s="4"/>
      <c r="U120" s="4"/>
      <c r="V120" s="4"/>
      <c r="W120" s="4"/>
      <c r="X120" s="4"/>
    </row>
    <row r="121" spans="10:24" ht="12.75" x14ac:dyDescent="0.2">
      <c r="J121" s="4"/>
      <c r="K121" s="79"/>
      <c r="L121" s="4"/>
      <c r="M121" s="17"/>
      <c r="N121" s="4"/>
      <c r="O121" s="4"/>
      <c r="U121" s="4"/>
      <c r="V121" s="4"/>
      <c r="W121" s="4"/>
      <c r="X121" s="4"/>
    </row>
    <row r="122" spans="10:24" ht="12.75" x14ac:dyDescent="0.2">
      <c r="J122" s="4"/>
      <c r="K122" s="79"/>
      <c r="L122" s="4"/>
      <c r="M122" s="17"/>
      <c r="N122" s="4"/>
      <c r="O122" s="4"/>
      <c r="U122" s="4"/>
      <c r="V122" s="4"/>
      <c r="W122" s="4"/>
      <c r="X122" s="4"/>
    </row>
    <row r="123" spans="10:24" ht="12.75" x14ac:dyDescent="0.2">
      <c r="J123" s="4"/>
      <c r="K123" s="79"/>
      <c r="L123" s="4"/>
      <c r="M123" s="17"/>
      <c r="N123" s="4"/>
      <c r="O123" s="4"/>
      <c r="U123" s="4"/>
      <c r="V123" s="4"/>
      <c r="W123" s="4"/>
      <c r="X123" s="4"/>
    </row>
    <row r="124" spans="10:24" ht="12.75" x14ac:dyDescent="0.2">
      <c r="J124" s="4"/>
      <c r="K124" s="79"/>
      <c r="L124" s="4"/>
      <c r="M124" s="17"/>
      <c r="N124" s="4"/>
      <c r="O124" s="4"/>
      <c r="U124" s="4"/>
      <c r="V124" s="4"/>
      <c r="W124" s="4"/>
      <c r="X124" s="4"/>
    </row>
    <row r="125" spans="10:24" ht="12.75" x14ac:dyDescent="0.2">
      <c r="J125" s="4"/>
      <c r="K125" s="79"/>
      <c r="L125" s="4"/>
      <c r="M125" s="17"/>
      <c r="N125" s="4"/>
      <c r="O125" s="4"/>
      <c r="U125" s="4"/>
      <c r="V125" s="4"/>
      <c r="W125" s="4"/>
      <c r="X125" s="4"/>
    </row>
    <row r="126" spans="10:24" ht="12.75" x14ac:dyDescent="0.2">
      <c r="J126" s="4"/>
      <c r="K126" s="79"/>
      <c r="L126" s="4"/>
      <c r="M126" s="17"/>
      <c r="N126" s="4"/>
      <c r="O126" s="4"/>
      <c r="U126" s="4"/>
      <c r="V126" s="4"/>
      <c r="W126" s="4"/>
      <c r="X126" s="4"/>
    </row>
    <row r="127" spans="10:24" ht="12.75" x14ac:dyDescent="0.2">
      <c r="J127" s="4"/>
      <c r="K127" s="79"/>
      <c r="L127" s="4"/>
      <c r="M127" s="17"/>
      <c r="N127" s="4"/>
      <c r="O127" s="4"/>
      <c r="U127" s="4"/>
      <c r="V127" s="4"/>
      <c r="W127" s="4"/>
      <c r="X127" s="4"/>
    </row>
    <row r="128" spans="10:24" ht="12.75" x14ac:dyDescent="0.2">
      <c r="J128" s="4"/>
      <c r="K128" s="79"/>
      <c r="L128" s="4"/>
      <c r="M128" s="17"/>
      <c r="N128" s="4"/>
      <c r="O128" s="4"/>
      <c r="U128" s="4"/>
      <c r="V128" s="4"/>
      <c r="W128" s="4"/>
      <c r="X128" s="4"/>
    </row>
    <row r="129" spans="10:24" ht="12.75" x14ac:dyDescent="0.2">
      <c r="J129" s="4"/>
      <c r="K129" s="79"/>
      <c r="L129" s="4"/>
      <c r="M129" s="17"/>
      <c r="N129" s="4"/>
      <c r="O129" s="4"/>
      <c r="U129" s="4"/>
      <c r="V129" s="4"/>
      <c r="W129" s="4"/>
      <c r="X129" s="4"/>
    </row>
    <row r="130" spans="10:24" ht="12.75" x14ac:dyDescent="0.2">
      <c r="J130" s="4"/>
      <c r="K130" s="79"/>
      <c r="L130" s="4"/>
      <c r="M130" s="17"/>
      <c r="N130" s="4"/>
      <c r="O130" s="4"/>
      <c r="U130" s="4"/>
      <c r="V130" s="4"/>
      <c r="W130" s="4"/>
      <c r="X130" s="4"/>
    </row>
    <row r="131" spans="10:24" ht="12.75" x14ac:dyDescent="0.2">
      <c r="J131" s="4"/>
      <c r="K131" s="79"/>
      <c r="L131" s="4"/>
      <c r="M131" s="17"/>
      <c r="N131" s="4"/>
      <c r="O131" s="4"/>
      <c r="U131" s="4"/>
      <c r="V131" s="4"/>
      <c r="W131" s="4"/>
      <c r="X131" s="4"/>
    </row>
    <row r="132" spans="10:24" ht="12.75" x14ac:dyDescent="0.2">
      <c r="J132" s="4"/>
      <c r="K132" s="79"/>
      <c r="L132" s="4"/>
      <c r="M132" s="17"/>
      <c r="N132" s="4"/>
      <c r="O132" s="4"/>
      <c r="U132" s="4"/>
      <c r="V132" s="4"/>
      <c r="W132" s="4"/>
      <c r="X132" s="4"/>
    </row>
    <row r="133" spans="10:24" ht="12.75" x14ac:dyDescent="0.2">
      <c r="J133" s="4"/>
      <c r="K133" s="79"/>
      <c r="L133" s="4"/>
      <c r="M133" s="17"/>
      <c r="N133" s="4"/>
      <c r="O133" s="4"/>
      <c r="U133" s="4"/>
      <c r="V133" s="4"/>
      <c r="W133" s="4"/>
      <c r="X133" s="4"/>
    </row>
    <row r="134" spans="10:24" ht="12.75" x14ac:dyDescent="0.2">
      <c r="J134" s="4"/>
      <c r="K134" s="79"/>
      <c r="L134" s="4"/>
      <c r="M134" s="17"/>
      <c r="N134" s="4"/>
      <c r="O134" s="4"/>
      <c r="U134" s="4"/>
      <c r="V134" s="4"/>
      <c r="W134" s="4"/>
      <c r="X134" s="4"/>
    </row>
    <row r="135" spans="10:24" ht="12.75" x14ac:dyDescent="0.2">
      <c r="J135" s="4"/>
      <c r="K135" s="79"/>
      <c r="L135" s="4"/>
      <c r="M135" s="17"/>
      <c r="N135" s="4"/>
      <c r="O135" s="4"/>
      <c r="U135" s="4"/>
      <c r="V135" s="4"/>
      <c r="W135" s="4"/>
      <c r="X135" s="4"/>
    </row>
    <row r="136" spans="10:24" ht="12.75" x14ac:dyDescent="0.2">
      <c r="J136" s="4"/>
      <c r="K136" s="79"/>
      <c r="L136" s="4"/>
      <c r="M136" s="17"/>
      <c r="N136" s="4"/>
      <c r="O136" s="4"/>
      <c r="U136" s="4"/>
      <c r="V136" s="4"/>
      <c r="W136" s="4"/>
      <c r="X136" s="4"/>
    </row>
    <row r="137" spans="10:24" ht="12.75" x14ac:dyDescent="0.2">
      <c r="J137" s="4"/>
      <c r="K137" s="79"/>
      <c r="L137" s="4"/>
      <c r="M137" s="17"/>
      <c r="N137" s="4"/>
      <c r="O137" s="4"/>
      <c r="U137" s="4"/>
      <c r="V137" s="4"/>
      <c r="W137" s="4"/>
      <c r="X137" s="4"/>
    </row>
    <row r="138" spans="10:24" ht="12.75" x14ac:dyDescent="0.2">
      <c r="J138" s="4"/>
      <c r="K138" s="79"/>
      <c r="L138" s="4"/>
      <c r="M138" s="17"/>
      <c r="N138" s="4"/>
      <c r="O138" s="4"/>
      <c r="U138" s="4"/>
      <c r="V138" s="4"/>
      <c r="W138" s="4"/>
      <c r="X138" s="4"/>
    </row>
    <row r="139" spans="10:24" ht="12.75" x14ac:dyDescent="0.2">
      <c r="J139" s="4"/>
      <c r="K139" s="79"/>
      <c r="L139" s="4"/>
      <c r="M139" s="17"/>
      <c r="N139" s="4"/>
      <c r="O139" s="4"/>
      <c r="U139" s="4"/>
      <c r="V139" s="4"/>
      <c r="W139" s="4"/>
      <c r="X139" s="4"/>
    </row>
    <row r="140" spans="10:24" ht="12.75" x14ac:dyDescent="0.2">
      <c r="J140" s="4"/>
      <c r="K140" s="79"/>
      <c r="L140" s="4"/>
      <c r="M140" s="17"/>
      <c r="N140" s="4"/>
      <c r="O140" s="4"/>
      <c r="U140" s="4"/>
      <c r="V140" s="4"/>
      <c r="W140" s="4"/>
      <c r="X140" s="4"/>
    </row>
    <row r="141" spans="10:24" ht="12.75" x14ac:dyDescent="0.2">
      <c r="J141" s="4"/>
      <c r="K141" s="79"/>
      <c r="L141" s="4"/>
      <c r="M141" s="17"/>
      <c r="N141" s="4"/>
      <c r="O141" s="4"/>
      <c r="U141" s="4"/>
      <c r="V141" s="4"/>
      <c r="W141" s="4"/>
      <c r="X141" s="4"/>
    </row>
    <row r="142" spans="10:24" ht="12.75" x14ac:dyDescent="0.2">
      <c r="J142" s="4"/>
      <c r="K142" s="79"/>
      <c r="L142" s="4"/>
      <c r="M142" s="17"/>
      <c r="N142" s="4"/>
      <c r="O142" s="4"/>
      <c r="U142" s="4"/>
      <c r="V142" s="4"/>
      <c r="W142" s="4"/>
      <c r="X142" s="4"/>
    </row>
    <row r="143" spans="10:24" ht="12.75" x14ac:dyDescent="0.2">
      <c r="J143" s="4"/>
      <c r="K143" s="79"/>
      <c r="L143" s="4"/>
      <c r="M143" s="17"/>
      <c r="N143" s="4"/>
      <c r="O143" s="4"/>
      <c r="U143" s="4"/>
      <c r="V143" s="4"/>
      <c r="W143" s="4"/>
      <c r="X143" s="4"/>
    </row>
    <row r="144" spans="10:24" ht="12.75" x14ac:dyDescent="0.2">
      <c r="J144" s="4"/>
      <c r="K144" s="79"/>
      <c r="L144" s="4"/>
      <c r="M144" s="17"/>
      <c r="N144" s="4"/>
      <c r="O144" s="4"/>
      <c r="U144" s="4"/>
      <c r="V144" s="4"/>
      <c r="W144" s="4"/>
      <c r="X144" s="4"/>
    </row>
    <row r="145" spans="10:24" ht="12.75" x14ac:dyDescent="0.2">
      <c r="J145" s="4"/>
      <c r="K145" s="79"/>
      <c r="L145" s="4"/>
      <c r="M145" s="17"/>
      <c r="N145" s="4"/>
      <c r="O145" s="4"/>
      <c r="U145" s="4"/>
      <c r="V145" s="4"/>
      <c r="W145" s="4"/>
      <c r="X145" s="4"/>
    </row>
    <row r="146" spans="10:24" ht="12.75" x14ac:dyDescent="0.2">
      <c r="J146" s="4"/>
      <c r="K146" s="79"/>
      <c r="L146" s="4"/>
      <c r="M146" s="17"/>
      <c r="N146" s="4"/>
      <c r="O146" s="4"/>
      <c r="U146" s="4"/>
      <c r="V146" s="4"/>
      <c r="W146" s="4"/>
      <c r="X146" s="4"/>
    </row>
    <row r="147" spans="10:24" ht="12.75" x14ac:dyDescent="0.2">
      <c r="J147" s="4"/>
      <c r="K147" s="79"/>
      <c r="L147" s="4"/>
      <c r="M147" s="17"/>
      <c r="N147" s="4"/>
      <c r="O147" s="4"/>
      <c r="U147" s="4"/>
      <c r="V147" s="4"/>
      <c r="W147" s="4"/>
      <c r="X147" s="4"/>
    </row>
    <row r="148" spans="10:24" ht="12.75" x14ac:dyDescent="0.2">
      <c r="J148" s="4"/>
      <c r="K148" s="79"/>
      <c r="L148" s="4"/>
      <c r="M148" s="17"/>
      <c r="N148" s="4"/>
      <c r="O148" s="4"/>
      <c r="U148" s="4"/>
      <c r="V148" s="4"/>
      <c r="W148" s="4"/>
      <c r="X148" s="4"/>
    </row>
    <row r="149" spans="10:24" ht="12.75" x14ac:dyDescent="0.2">
      <c r="J149" s="4"/>
      <c r="K149" s="79"/>
      <c r="L149" s="4"/>
      <c r="M149" s="17"/>
      <c r="N149" s="4"/>
      <c r="O149" s="4"/>
      <c r="U149" s="4"/>
      <c r="V149" s="4"/>
      <c r="W149" s="4"/>
      <c r="X149" s="4"/>
    </row>
    <row r="150" spans="10:24" ht="12.75" x14ac:dyDescent="0.2">
      <c r="J150" s="4"/>
      <c r="K150" s="79"/>
      <c r="L150" s="4"/>
      <c r="M150" s="17"/>
      <c r="N150" s="4"/>
      <c r="O150" s="4"/>
      <c r="U150" s="4"/>
      <c r="V150" s="4"/>
      <c r="W150" s="4"/>
      <c r="X150" s="4"/>
    </row>
    <row r="151" spans="10:24" ht="12.75" x14ac:dyDescent="0.2">
      <c r="J151" s="4"/>
      <c r="K151" s="79"/>
      <c r="L151" s="4"/>
      <c r="M151" s="17"/>
      <c r="N151" s="4"/>
      <c r="O151" s="4"/>
      <c r="U151" s="4"/>
      <c r="V151" s="4"/>
      <c r="W151" s="4"/>
      <c r="X151" s="4"/>
    </row>
    <row r="152" spans="10:24" ht="12.75" x14ac:dyDescent="0.2">
      <c r="J152" s="4"/>
      <c r="K152" s="79"/>
      <c r="L152" s="4"/>
      <c r="M152" s="17"/>
      <c r="N152" s="4"/>
      <c r="O152" s="4"/>
      <c r="U152" s="4"/>
      <c r="V152" s="4"/>
      <c r="W152" s="4"/>
      <c r="X152" s="4"/>
    </row>
    <row r="153" spans="10:24" ht="12.75" x14ac:dyDescent="0.2">
      <c r="J153" s="4"/>
      <c r="K153" s="79"/>
      <c r="L153" s="4"/>
      <c r="M153" s="17"/>
      <c r="N153" s="4"/>
      <c r="O153" s="4"/>
      <c r="U153" s="4"/>
      <c r="V153" s="4"/>
      <c r="W153" s="4"/>
      <c r="X153" s="4"/>
    </row>
    <row r="154" spans="10:24" ht="12.75" x14ac:dyDescent="0.2">
      <c r="J154" s="4"/>
      <c r="K154" s="79"/>
      <c r="L154" s="4"/>
      <c r="M154" s="17"/>
      <c r="N154" s="4"/>
      <c r="O154" s="4"/>
      <c r="U154" s="4"/>
      <c r="V154" s="4"/>
      <c r="W154" s="4"/>
      <c r="X154" s="4"/>
    </row>
    <row r="155" spans="10:24" ht="12.75" x14ac:dyDescent="0.2">
      <c r="J155" s="4"/>
      <c r="K155" s="79"/>
      <c r="L155" s="4"/>
      <c r="M155" s="17"/>
      <c r="N155" s="4"/>
      <c r="O155" s="4"/>
      <c r="U155" s="4"/>
      <c r="V155" s="4"/>
      <c r="W155" s="4"/>
      <c r="X155" s="4"/>
    </row>
    <row r="156" spans="10:24" ht="12.75" x14ac:dyDescent="0.2">
      <c r="J156" s="4"/>
      <c r="K156" s="79"/>
      <c r="L156" s="4"/>
      <c r="M156" s="17"/>
      <c r="N156" s="4"/>
      <c r="O156" s="4"/>
      <c r="U156" s="4"/>
      <c r="V156" s="4"/>
      <c r="W156" s="4"/>
      <c r="X156" s="4"/>
    </row>
    <row r="157" spans="10:24" ht="12.75" x14ac:dyDescent="0.2">
      <c r="J157" s="4"/>
      <c r="K157" s="79"/>
      <c r="L157" s="4"/>
      <c r="M157" s="17"/>
      <c r="N157" s="4"/>
      <c r="O157" s="4"/>
      <c r="U157" s="4"/>
      <c r="V157" s="4"/>
      <c r="W157" s="4"/>
      <c r="X157" s="4"/>
    </row>
    <row r="158" spans="10:24" ht="12.75" x14ac:dyDescent="0.2">
      <c r="J158" s="4"/>
      <c r="K158" s="79"/>
      <c r="L158" s="4"/>
      <c r="M158" s="17"/>
      <c r="N158" s="4"/>
      <c r="O158" s="4"/>
      <c r="U158" s="4"/>
      <c r="V158" s="4"/>
      <c r="W158" s="4"/>
      <c r="X158" s="4"/>
    </row>
    <row r="159" spans="10:24" ht="12.75" x14ac:dyDescent="0.2">
      <c r="J159" s="4"/>
      <c r="K159" s="79"/>
      <c r="L159" s="4"/>
      <c r="M159" s="17"/>
      <c r="N159" s="4"/>
      <c r="O159" s="4"/>
      <c r="U159" s="4"/>
      <c r="V159" s="4"/>
      <c r="W159" s="4"/>
      <c r="X159" s="4"/>
    </row>
    <row r="160" spans="10:24" ht="12.75" x14ac:dyDescent="0.2">
      <c r="J160" s="4"/>
      <c r="K160" s="79"/>
      <c r="L160" s="4"/>
      <c r="M160" s="17"/>
      <c r="N160" s="4"/>
      <c r="O160" s="4"/>
      <c r="U160" s="4"/>
      <c r="V160" s="4"/>
      <c r="W160" s="4"/>
      <c r="X160" s="4"/>
    </row>
    <row r="161" spans="10:24" ht="12.75" x14ac:dyDescent="0.2">
      <c r="J161" s="4"/>
      <c r="K161" s="79"/>
      <c r="L161" s="4"/>
      <c r="M161" s="17"/>
      <c r="N161" s="4"/>
      <c r="O161" s="4"/>
      <c r="U161" s="4"/>
      <c r="V161" s="4"/>
      <c r="W161" s="4"/>
      <c r="X161" s="4"/>
    </row>
    <row r="162" spans="10:24" ht="12.75" x14ac:dyDescent="0.2">
      <c r="J162" s="4"/>
      <c r="K162" s="79"/>
      <c r="L162" s="4"/>
      <c r="M162" s="17"/>
      <c r="N162" s="4"/>
      <c r="O162" s="4"/>
      <c r="U162" s="4"/>
      <c r="V162" s="4"/>
      <c r="W162" s="4"/>
      <c r="X162" s="4"/>
    </row>
    <row r="163" spans="10:24" ht="12.75" x14ac:dyDescent="0.2">
      <c r="J163" s="4"/>
      <c r="K163" s="79"/>
      <c r="L163" s="4"/>
      <c r="M163" s="17"/>
      <c r="N163" s="4"/>
      <c r="O163" s="4"/>
      <c r="U163" s="4"/>
      <c r="V163" s="4"/>
      <c r="W163" s="4"/>
      <c r="X163" s="4"/>
    </row>
    <row r="164" spans="10:24" ht="12.75" x14ac:dyDescent="0.2">
      <c r="J164" s="4"/>
      <c r="K164" s="79"/>
      <c r="L164" s="4"/>
      <c r="M164" s="17"/>
      <c r="N164" s="4"/>
      <c r="O164" s="4"/>
      <c r="U164" s="4"/>
      <c r="V164" s="4"/>
      <c r="W164" s="4"/>
      <c r="X164" s="4"/>
    </row>
    <row r="165" spans="10:24" ht="12.75" x14ac:dyDescent="0.2">
      <c r="J165" s="4"/>
      <c r="K165" s="79"/>
      <c r="L165" s="4"/>
      <c r="M165" s="17"/>
      <c r="N165" s="4"/>
      <c r="O165" s="4"/>
      <c r="U165" s="4"/>
      <c r="V165" s="4"/>
      <c r="W165" s="4"/>
      <c r="X165" s="4"/>
    </row>
    <row r="166" spans="10:24" ht="12.75" x14ac:dyDescent="0.2">
      <c r="J166" s="4"/>
      <c r="K166" s="79"/>
      <c r="L166" s="4"/>
      <c r="M166" s="17"/>
      <c r="N166" s="4"/>
      <c r="O166" s="4"/>
      <c r="U166" s="4"/>
      <c r="V166" s="4"/>
      <c r="W166" s="4"/>
      <c r="X166" s="4"/>
    </row>
    <row r="167" spans="10:24" ht="12.75" x14ac:dyDescent="0.2">
      <c r="J167" s="4"/>
      <c r="K167" s="79"/>
      <c r="L167" s="4"/>
      <c r="M167" s="17"/>
      <c r="N167" s="4"/>
      <c r="O167" s="4"/>
      <c r="U167" s="4"/>
      <c r="V167" s="4"/>
      <c r="W167" s="4"/>
      <c r="X167" s="4"/>
    </row>
    <row r="168" spans="10:24" ht="12.75" x14ac:dyDescent="0.2">
      <c r="J168" s="4"/>
      <c r="K168" s="79"/>
      <c r="L168" s="4"/>
      <c r="M168" s="17"/>
      <c r="N168" s="4"/>
      <c r="O168" s="4"/>
      <c r="U168" s="4"/>
      <c r="V168" s="4"/>
      <c r="W168" s="4"/>
      <c r="X168" s="4"/>
    </row>
    <row r="169" spans="10:24" ht="12.75" x14ac:dyDescent="0.2">
      <c r="J169" s="4"/>
      <c r="K169" s="79"/>
      <c r="L169" s="4"/>
      <c r="M169" s="17"/>
      <c r="N169" s="4"/>
      <c r="O169" s="4"/>
      <c r="U169" s="4"/>
      <c r="V169" s="4"/>
      <c r="W169" s="4"/>
      <c r="X169" s="4"/>
    </row>
    <row r="170" spans="10:24" ht="12.75" x14ac:dyDescent="0.2">
      <c r="J170" s="4"/>
      <c r="K170" s="79"/>
      <c r="L170" s="4"/>
      <c r="M170" s="17"/>
      <c r="N170" s="4"/>
      <c r="O170" s="4"/>
      <c r="U170" s="4"/>
      <c r="V170" s="4"/>
      <c r="W170" s="4"/>
      <c r="X170" s="4"/>
    </row>
    <row r="171" spans="10:24" ht="12.75" x14ac:dyDescent="0.2">
      <c r="J171" s="4"/>
      <c r="K171" s="79"/>
      <c r="L171" s="4"/>
      <c r="M171" s="17"/>
      <c r="N171" s="4"/>
      <c r="O171" s="4"/>
      <c r="U171" s="4"/>
      <c r="V171" s="4"/>
      <c r="W171" s="4"/>
      <c r="X171" s="4"/>
    </row>
    <row r="172" spans="10:24" ht="12.75" x14ac:dyDescent="0.2">
      <c r="J172" s="4"/>
      <c r="K172" s="79"/>
      <c r="L172" s="4"/>
      <c r="M172" s="17"/>
      <c r="N172" s="4"/>
      <c r="O172" s="4"/>
      <c r="U172" s="4"/>
      <c r="V172" s="4"/>
      <c r="W172" s="4"/>
      <c r="X172" s="4"/>
    </row>
    <row r="173" spans="10:24" ht="12.75" x14ac:dyDescent="0.2">
      <c r="J173" s="4"/>
      <c r="K173" s="79"/>
      <c r="L173" s="4"/>
      <c r="M173" s="17"/>
      <c r="N173" s="4"/>
      <c r="O173" s="4"/>
      <c r="U173" s="4"/>
      <c r="V173" s="4"/>
      <c r="W173" s="4"/>
      <c r="X173" s="4"/>
    </row>
    <row r="174" spans="10:24" ht="12.75" x14ac:dyDescent="0.2">
      <c r="J174" s="4"/>
      <c r="K174" s="79"/>
      <c r="L174" s="4"/>
      <c r="M174" s="17"/>
      <c r="N174" s="4"/>
      <c r="O174" s="4"/>
      <c r="U174" s="4"/>
      <c r="V174" s="4"/>
      <c r="W174" s="4"/>
      <c r="X174" s="4"/>
    </row>
    <row r="175" spans="10:24" ht="12.75" x14ac:dyDescent="0.2">
      <c r="J175" s="4"/>
      <c r="K175" s="79"/>
      <c r="L175" s="4"/>
      <c r="M175" s="17"/>
      <c r="N175" s="4"/>
      <c r="O175" s="4"/>
      <c r="U175" s="4"/>
      <c r="V175" s="4"/>
      <c r="W175" s="4"/>
      <c r="X175" s="4"/>
    </row>
    <row r="176" spans="10:24" ht="12.75" x14ac:dyDescent="0.2">
      <c r="J176" s="4"/>
      <c r="K176" s="79"/>
      <c r="L176" s="4"/>
      <c r="M176" s="17"/>
      <c r="N176" s="4"/>
      <c r="O176" s="4"/>
      <c r="U176" s="4"/>
      <c r="V176" s="4"/>
      <c r="W176" s="4"/>
      <c r="X176" s="4"/>
    </row>
    <row r="177" spans="10:24" ht="12.75" x14ac:dyDescent="0.2">
      <c r="J177" s="4"/>
      <c r="K177" s="79"/>
      <c r="L177" s="4"/>
      <c r="M177" s="17"/>
      <c r="N177" s="4"/>
      <c r="O177" s="4"/>
      <c r="U177" s="4"/>
      <c r="V177" s="4"/>
      <c r="W177" s="4"/>
      <c r="X177" s="4"/>
    </row>
    <row r="178" spans="10:24" ht="12.75" x14ac:dyDescent="0.2">
      <c r="J178" s="4"/>
      <c r="K178" s="79"/>
      <c r="L178" s="4"/>
      <c r="M178" s="17"/>
      <c r="N178" s="4"/>
      <c r="O178" s="4"/>
      <c r="U178" s="4"/>
      <c r="V178" s="4"/>
      <c r="W178" s="4"/>
      <c r="X178" s="4"/>
    </row>
    <row r="179" spans="10:24" ht="12.75" x14ac:dyDescent="0.2">
      <c r="J179" s="4"/>
      <c r="K179" s="79"/>
      <c r="L179" s="4"/>
      <c r="M179" s="17"/>
      <c r="N179" s="4"/>
      <c r="O179" s="4"/>
      <c r="U179" s="4"/>
      <c r="V179" s="4"/>
      <c r="W179" s="4"/>
      <c r="X179" s="4"/>
    </row>
    <row r="180" spans="10:24" ht="12.75" x14ac:dyDescent="0.2">
      <c r="J180" s="4"/>
      <c r="K180" s="79"/>
      <c r="L180" s="4"/>
      <c r="M180" s="17"/>
      <c r="N180" s="4"/>
      <c r="O180" s="4"/>
      <c r="U180" s="4"/>
      <c r="V180" s="4"/>
      <c r="W180" s="4"/>
      <c r="X180" s="4"/>
    </row>
    <row r="181" spans="10:24" ht="12.75" x14ac:dyDescent="0.2">
      <c r="J181" s="4"/>
      <c r="K181" s="79"/>
      <c r="L181" s="4"/>
      <c r="M181" s="17"/>
      <c r="N181" s="4"/>
      <c r="O181" s="4"/>
      <c r="U181" s="4"/>
      <c r="V181" s="4"/>
      <c r="W181" s="4"/>
      <c r="X181" s="4"/>
    </row>
    <row r="182" spans="10:24" ht="12.75" x14ac:dyDescent="0.2">
      <c r="J182" s="4"/>
      <c r="K182" s="79"/>
      <c r="L182" s="4"/>
      <c r="M182" s="17"/>
      <c r="N182" s="4"/>
      <c r="O182" s="4"/>
      <c r="U182" s="4"/>
      <c r="V182" s="4"/>
      <c r="W182" s="4"/>
      <c r="X182" s="4"/>
    </row>
    <row r="183" spans="10:24" ht="12.75" x14ac:dyDescent="0.2">
      <c r="J183" s="4"/>
      <c r="K183" s="79"/>
      <c r="L183" s="4"/>
      <c r="M183" s="17"/>
      <c r="N183" s="4"/>
      <c r="O183" s="4"/>
      <c r="U183" s="4"/>
      <c r="V183" s="4"/>
      <c r="W183" s="4"/>
      <c r="X183" s="4"/>
    </row>
    <row r="184" spans="10:24" ht="12.75" x14ac:dyDescent="0.2">
      <c r="J184" s="4"/>
      <c r="K184" s="79"/>
      <c r="L184" s="4"/>
      <c r="M184" s="17"/>
      <c r="N184" s="4"/>
      <c r="O184" s="4"/>
      <c r="U184" s="4"/>
      <c r="V184" s="4"/>
      <c r="W184" s="4"/>
      <c r="X184" s="4"/>
    </row>
    <row r="185" spans="10:24" ht="12.75" x14ac:dyDescent="0.2">
      <c r="J185" s="4"/>
      <c r="K185" s="79"/>
      <c r="L185" s="4"/>
      <c r="M185" s="17"/>
      <c r="N185" s="4"/>
      <c r="O185" s="4"/>
      <c r="U185" s="4"/>
      <c r="V185" s="4"/>
      <c r="W185" s="4"/>
      <c r="X185" s="4"/>
    </row>
    <row r="186" spans="10:24" ht="12.75" x14ac:dyDescent="0.2">
      <c r="J186" s="4"/>
      <c r="K186" s="79"/>
      <c r="L186" s="4"/>
      <c r="M186" s="17"/>
      <c r="N186" s="4"/>
      <c r="O186" s="4"/>
      <c r="U186" s="4"/>
      <c r="V186" s="4"/>
      <c r="W186" s="4"/>
      <c r="X186" s="4"/>
    </row>
    <row r="187" spans="10:24" ht="12.75" x14ac:dyDescent="0.2">
      <c r="J187" s="4"/>
      <c r="K187" s="79"/>
      <c r="L187" s="4"/>
      <c r="M187" s="17"/>
      <c r="N187" s="4"/>
      <c r="O187" s="4"/>
      <c r="U187" s="4"/>
      <c r="V187" s="4"/>
      <c r="W187" s="4"/>
      <c r="X187" s="4"/>
    </row>
    <row r="188" spans="10:24" ht="12.75" x14ac:dyDescent="0.2">
      <c r="J188" s="4"/>
      <c r="K188" s="79"/>
      <c r="L188" s="4"/>
      <c r="M188" s="17"/>
      <c r="N188" s="4"/>
      <c r="O188" s="4"/>
      <c r="U188" s="4"/>
      <c r="V188" s="4"/>
      <c r="W188" s="4"/>
      <c r="X188" s="4"/>
    </row>
    <row r="189" spans="10:24" ht="12.75" x14ac:dyDescent="0.2">
      <c r="J189" s="4"/>
      <c r="K189" s="79"/>
      <c r="L189" s="4"/>
      <c r="M189" s="17"/>
      <c r="N189" s="4"/>
      <c r="O189" s="4"/>
      <c r="U189" s="4"/>
      <c r="V189" s="4"/>
      <c r="W189" s="4"/>
      <c r="X189" s="4"/>
    </row>
    <row r="190" spans="10:24" ht="12.75" x14ac:dyDescent="0.2">
      <c r="J190" s="4"/>
      <c r="K190" s="79"/>
      <c r="L190" s="4"/>
      <c r="M190" s="17"/>
      <c r="N190" s="4"/>
      <c r="O190" s="4"/>
      <c r="U190" s="4"/>
      <c r="V190" s="4"/>
      <c r="W190" s="4"/>
      <c r="X190" s="4"/>
    </row>
    <row r="191" spans="10:24" ht="12.75" x14ac:dyDescent="0.2">
      <c r="J191" s="4"/>
      <c r="K191" s="79"/>
      <c r="L191" s="4"/>
      <c r="M191" s="17"/>
      <c r="N191" s="4"/>
      <c r="O191" s="4"/>
      <c r="U191" s="4"/>
      <c r="V191" s="4"/>
      <c r="W191" s="4"/>
      <c r="X191" s="4"/>
    </row>
    <row r="192" spans="10:24" ht="12.75" x14ac:dyDescent="0.2">
      <c r="J192" s="4"/>
      <c r="K192" s="79"/>
      <c r="L192" s="4"/>
      <c r="M192" s="17"/>
      <c r="N192" s="4"/>
      <c r="O192" s="4"/>
      <c r="U192" s="4"/>
      <c r="V192" s="4"/>
      <c r="W192" s="4"/>
      <c r="X192" s="4"/>
    </row>
    <row r="193" spans="10:24" ht="12.75" x14ac:dyDescent="0.2">
      <c r="J193" s="4"/>
      <c r="K193" s="79"/>
      <c r="L193" s="4"/>
      <c r="M193" s="17"/>
      <c r="N193" s="4"/>
      <c r="O193" s="4"/>
      <c r="U193" s="4"/>
      <c r="V193" s="4"/>
      <c r="W193" s="4"/>
      <c r="X193" s="4"/>
    </row>
    <row r="194" spans="10:24" ht="12.75" x14ac:dyDescent="0.2">
      <c r="J194" s="4"/>
      <c r="K194" s="79"/>
      <c r="L194" s="4"/>
      <c r="M194" s="17"/>
      <c r="N194" s="4"/>
      <c r="O194" s="4"/>
      <c r="U194" s="4"/>
      <c r="V194" s="4"/>
      <c r="W194" s="4"/>
      <c r="X194" s="4"/>
    </row>
    <row r="195" spans="10:24" ht="12.75" x14ac:dyDescent="0.2">
      <c r="J195" s="4"/>
      <c r="K195" s="79"/>
      <c r="L195" s="4"/>
      <c r="M195" s="17"/>
      <c r="N195" s="4"/>
      <c r="O195" s="4"/>
      <c r="U195" s="4"/>
      <c r="V195" s="4"/>
      <c r="W195" s="4"/>
      <c r="X195" s="4"/>
    </row>
    <row r="196" spans="10:24" ht="12.75" x14ac:dyDescent="0.2">
      <c r="J196" s="4"/>
      <c r="K196" s="79"/>
      <c r="L196" s="4"/>
      <c r="M196" s="17"/>
      <c r="N196" s="4"/>
      <c r="O196" s="4"/>
      <c r="U196" s="4"/>
      <c r="V196" s="4"/>
      <c r="W196" s="4"/>
      <c r="X196" s="4"/>
    </row>
    <row r="197" spans="10:24" ht="12.75" x14ac:dyDescent="0.2">
      <c r="J197" s="4"/>
      <c r="K197" s="79"/>
      <c r="L197" s="4"/>
      <c r="M197" s="17"/>
      <c r="N197" s="4"/>
      <c r="O197" s="4"/>
      <c r="U197" s="4"/>
      <c r="V197" s="4"/>
      <c r="W197" s="4"/>
      <c r="X197" s="4"/>
    </row>
    <row r="198" spans="10:24" ht="12.75" x14ac:dyDescent="0.2">
      <c r="J198" s="4"/>
      <c r="K198" s="79"/>
      <c r="L198" s="4"/>
      <c r="M198" s="17"/>
      <c r="N198" s="4"/>
      <c r="O198" s="4"/>
      <c r="U198" s="4"/>
      <c r="V198" s="4"/>
      <c r="W198" s="4"/>
      <c r="X198" s="4"/>
    </row>
    <row r="199" spans="10:24" ht="12.75" x14ac:dyDescent="0.2">
      <c r="J199" s="4"/>
      <c r="K199" s="79"/>
      <c r="L199" s="4"/>
      <c r="M199" s="17"/>
      <c r="N199" s="4"/>
      <c r="O199" s="4"/>
      <c r="U199" s="4"/>
      <c r="V199" s="4"/>
      <c r="W199" s="4"/>
      <c r="X199" s="4"/>
    </row>
    <row r="200" spans="10:24" ht="12.75" x14ac:dyDescent="0.2">
      <c r="J200" s="4"/>
      <c r="K200" s="79"/>
      <c r="L200" s="4"/>
      <c r="M200" s="17"/>
      <c r="N200" s="4"/>
      <c r="O200" s="4"/>
      <c r="U200" s="4"/>
      <c r="V200" s="4"/>
      <c r="W200" s="4"/>
      <c r="X200" s="4"/>
    </row>
    <row r="201" spans="10:24" ht="12.75" x14ac:dyDescent="0.2">
      <c r="J201" s="4"/>
      <c r="K201" s="79"/>
      <c r="L201" s="4"/>
      <c r="M201" s="17"/>
      <c r="N201" s="4"/>
      <c r="O201" s="4"/>
      <c r="U201" s="4"/>
      <c r="V201" s="4"/>
      <c r="W201" s="4"/>
      <c r="X201" s="4"/>
    </row>
    <row r="202" spans="10:24" ht="12.75" x14ac:dyDescent="0.2">
      <c r="J202" s="4"/>
      <c r="K202" s="79"/>
      <c r="L202" s="4"/>
      <c r="M202" s="17"/>
      <c r="N202" s="4"/>
      <c r="O202" s="4"/>
      <c r="U202" s="4"/>
      <c r="V202" s="4"/>
      <c r="W202" s="4"/>
      <c r="X202" s="4"/>
    </row>
    <row r="203" spans="10:24" ht="12.75" x14ac:dyDescent="0.2">
      <c r="J203" s="4"/>
      <c r="K203" s="79"/>
      <c r="L203" s="4"/>
      <c r="M203" s="17"/>
      <c r="N203" s="4"/>
      <c r="O203" s="4"/>
      <c r="U203" s="4"/>
      <c r="V203" s="4"/>
      <c r="W203" s="4"/>
      <c r="X203" s="4"/>
    </row>
    <row r="204" spans="10:24" ht="12.75" x14ac:dyDescent="0.2">
      <c r="J204" s="4"/>
      <c r="K204" s="79"/>
      <c r="L204" s="4"/>
      <c r="M204" s="17"/>
      <c r="N204" s="4"/>
      <c r="O204" s="4"/>
      <c r="U204" s="4"/>
      <c r="V204" s="4"/>
      <c r="W204" s="4"/>
      <c r="X204" s="4"/>
    </row>
    <row r="205" spans="10:24" ht="12.75" x14ac:dyDescent="0.2">
      <c r="J205" s="4"/>
      <c r="K205" s="79"/>
      <c r="L205" s="4"/>
      <c r="M205" s="17"/>
      <c r="N205" s="4"/>
      <c r="O205" s="4"/>
      <c r="U205" s="4"/>
      <c r="V205" s="4"/>
      <c r="W205" s="4"/>
      <c r="X205" s="4"/>
    </row>
    <row r="206" spans="10:24" ht="12.75" x14ac:dyDescent="0.2">
      <c r="J206" s="4"/>
      <c r="K206" s="79"/>
      <c r="L206" s="4"/>
      <c r="M206" s="17"/>
      <c r="N206" s="4"/>
      <c r="O206" s="4"/>
      <c r="U206" s="4"/>
      <c r="V206" s="4"/>
      <c r="W206" s="4"/>
      <c r="X206" s="4"/>
    </row>
    <row r="207" spans="10:24" ht="12.75" x14ac:dyDescent="0.2">
      <c r="J207" s="4"/>
      <c r="K207" s="79"/>
      <c r="L207" s="4"/>
      <c r="M207" s="17"/>
      <c r="N207" s="4"/>
      <c r="O207" s="4"/>
      <c r="U207" s="4"/>
      <c r="V207" s="4"/>
      <c r="W207" s="4"/>
      <c r="X207" s="4"/>
    </row>
    <row r="208" spans="10:24" ht="12.75" x14ac:dyDescent="0.2">
      <c r="J208" s="4"/>
      <c r="K208" s="79"/>
      <c r="L208" s="4"/>
      <c r="M208" s="17"/>
      <c r="N208" s="4"/>
      <c r="O208" s="4"/>
      <c r="U208" s="4"/>
      <c r="V208" s="4"/>
      <c r="W208" s="4"/>
      <c r="X208" s="4"/>
    </row>
    <row r="209" spans="10:24" ht="12.75" x14ac:dyDescent="0.2">
      <c r="J209" s="4"/>
      <c r="K209" s="79"/>
      <c r="L209" s="4"/>
      <c r="M209" s="17"/>
      <c r="N209" s="4"/>
      <c r="O209" s="4"/>
      <c r="U209" s="4"/>
      <c r="V209" s="4"/>
      <c r="W209" s="4"/>
      <c r="X209" s="4"/>
    </row>
    <row r="210" spans="10:24" ht="12.75" x14ac:dyDescent="0.2">
      <c r="J210" s="4"/>
      <c r="K210" s="79"/>
      <c r="L210" s="4"/>
      <c r="M210" s="17"/>
      <c r="N210" s="4"/>
      <c r="O210" s="4"/>
      <c r="U210" s="4"/>
      <c r="V210" s="4"/>
      <c r="W210" s="4"/>
      <c r="X210" s="4"/>
    </row>
    <row r="211" spans="10:24" ht="12.75" x14ac:dyDescent="0.2">
      <c r="J211" s="4"/>
      <c r="K211" s="79"/>
      <c r="L211" s="4"/>
      <c r="M211" s="17"/>
      <c r="N211" s="4"/>
      <c r="O211" s="4"/>
      <c r="U211" s="4"/>
      <c r="V211" s="4"/>
      <c r="W211" s="4"/>
      <c r="X211" s="4"/>
    </row>
    <row r="212" spans="10:24" ht="12.75" x14ac:dyDescent="0.2">
      <c r="J212" s="4"/>
      <c r="K212" s="79"/>
      <c r="L212" s="4"/>
      <c r="M212" s="17"/>
      <c r="N212" s="4"/>
      <c r="O212" s="4"/>
      <c r="U212" s="4"/>
      <c r="V212" s="4"/>
      <c r="W212" s="4"/>
      <c r="X212" s="4"/>
    </row>
    <row r="213" spans="10:24" ht="12.75" x14ac:dyDescent="0.2">
      <c r="J213" s="4"/>
      <c r="K213" s="79"/>
      <c r="L213" s="4"/>
      <c r="M213" s="17"/>
      <c r="N213" s="4"/>
      <c r="O213" s="4"/>
      <c r="U213" s="4"/>
      <c r="V213" s="4"/>
      <c r="W213" s="4"/>
      <c r="X213" s="4"/>
    </row>
    <row r="214" spans="10:24" ht="12.75" x14ac:dyDescent="0.2">
      <c r="J214" s="4"/>
      <c r="K214" s="79"/>
      <c r="L214" s="4"/>
      <c r="M214" s="17"/>
      <c r="N214" s="4"/>
      <c r="O214" s="4"/>
      <c r="U214" s="4"/>
      <c r="V214" s="4"/>
      <c r="W214" s="4"/>
      <c r="X214" s="4"/>
    </row>
    <row r="215" spans="10:24" ht="12.75" x14ac:dyDescent="0.2">
      <c r="J215" s="4"/>
      <c r="K215" s="79"/>
      <c r="L215" s="4"/>
      <c r="M215" s="17"/>
      <c r="N215" s="4"/>
      <c r="O215" s="4"/>
      <c r="U215" s="4"/>
      <c r="V215" s="4"/>
      <c r="W215" s="4"/>
      <c r="X215" s="4"/>
    </row>
    <row r="216" spans="10:24" ht="12.75" x14ac:dyDescent="0.2">
      <c r="J216" s="4"/>
      <c r="K216" s="79"/>
      <c r="L216" s="4"/>
      <c r="M216" s="17"/>
      <c r="N216" s="4"/>
      <c r="O216" s="4"/>
      <c r="U216" s="4"/>
      <c r="V216" s="4"/>
      <c r="W216" s="4"/>
      <c r="X216" s="4"/>
    </row>
    <row r="217" spans="10:24" ht="12.75" x14ac:dyDescent="0.2">
      <c r="J217" s="4"/>
      <c r="K217" s="79"/>
      <c r="L217" s="4"/>
      <c r="M217" s="17"/>
      <c r="N217" s="4"/>
      <c r="O217" s="4"/>
      <c r="U217" s="4"/>
      <c r="V217" s="4"/>
      <c r="W217" s="4"/>
      <c r="X217" s="4"/>
    </row>
    <row r="218" spans="10:24" ht="12.75" x14ac:dyDescent="0.2">
      <c r="J218" s="4"/>
      <c r="K218" s="79"/>
      <c r="L218" s="4"/>
      <c r="M218" s="17"/>
      <c r="N218" s="4"/>
      <c r="O218" s="4"/>
      <c r="U218" s="4"/>
      <c r="V218" s="4"/>
      <c r="W218" s="4"/>
      <c r="X218" s="4"/>
    </row>
    <row r="219" spans="10:24" ht="12.75" x14ac:dyDescent="0.2">
      <c r="J219" s="4"/>
      <c r="K219" s="79"/>
      <c r="L219" s="4"/>
      <c r="M219" s="17"/>
      <c r="N219" s="4"/>
      <c r="O219" s="4"/>
      <c r="U219" s="4"/>
      <c r="V219" s="4"/>
      <c r="W219" s="4"/>
      <c r="X219" s="4"/>
    </row>
    <row r="220" spans="10:24" ht="12.75" x14ac:dyDescent="0.2">
      <c r="J220" s="4"/>
      <c r="K220" s="79"/>
      <c r="L220" s="4"/>
      <c r="M220" s="17"/>
      <c r="N220" s="4"/>
      <c r="O220" s="4"/>
      <c r="U220" s="4"/>
      <c r="V220" s="4"/>
      <c r="W220" s="4"/>
      <c r="X220" s="4"/>
    </row>
    <row r="221" spans="10:24" ht="12.75" x14ac:dyDescent="0.2">
      <c r="J221" s="4"/>
      <c r="K221" s="79"/>
      <c r="L221" s="4"/>
      <c r="M221" s="17"/>
      <c r="N221" s="4"/>
      <c r="O221" s="4"/>
      <c r="U221" s="4"/>
      <c r="V221" s="4"/>
      <c r="W221" s="4"/>
      <c r="X221" s="4"/>
    </row>
    <row r="222" spans="10:24" ht="12.75" x14ac:dyDescent="0.2">
      <c r="J222" s="4"/>
      <c r="K222" s="79"/>
      <c r="L222" s="4"/>
      <c r="M222" s="17"/>
      <c r="N222" s="4"/>
      <c r="O222" s="4"/>
      <c r="U222" s="4"/>
      <c r="V222" s="4"/>
      <c r="W222" s="4"/>
      <c r="X222" s="4"/>
    </row>
    <row r="223" spans="10:24" ht="12.75" x14ac:dyDescent="0.2">
      <c r="J223" s="4"/>
      <c r="K223" s="79"/>
      <c r="L223" s="4"/>
      <c r="M223" s="17"/>
      <c r="N223" s="4"/>
      <c r="O223" s="4"/>
      <c r="U223" s="4"/>
      <c r="V223" s="4"/>
      <c r="W223" s="4"/>
      <c r="X223" s="4"/>
    </row>
    <row r="224" spans="10:24" ht="12.75" x14ac:dyDescent="0.2">
      <c r="J224" s="4"/>
      <c r="K224" s="79"/>
      <c r="L224" s="4"/>
      <c r="M224" s="17"/>
      <c r="N224" s="4"/>
      <c r="O224" s="4"/>
      <c r="U224" s="4"/>
      <c r="V224" s="4"/>
      <c r="W224" s="4"/>
      <c r="X224" s="4"/>
    </row>
    <row r="225" spans="10:24" ht="12.75" x14ac:dyDescent="0.2">
      <c r="J225" s="4"/>
      <c r="K225" s="79"/>
      <c r="L225" s="4"/>
      <c r="M225" s="17"/>
      <c r="N225" s="4"/>
      <c r="O225" s="4"/>
      <c r="U225" s="4"/>
      <c r="V225" s="4"/>
      <c r="W225" s="4"/>
      <c r="X225" s="4"/>
    </row>
    <row r="226" spans="10:24" ht="12.75" x14ac:dyDescent="0.2">
      <c r="J226" s="4"/>
      <c r="K226" s="79"/>
      <c r="L226" s="4"/>
      <c r="M226" s="17"/>
      <c r="N226" s="4"/>
      <c r="O226" s="4"/>
      <c r="U226" s="4"/>
      <c r="V226" s="4"/>
      <c r="W226" s="4"/>
      <c r="X226" s="4"/>
    </row>
    <row r="227" spans="10:24" ht="12.75" x14ac:dyDescent="0.2">
      <c r="J227" s="4"/>
      <c r="K227" s="79"/>
      <c r="L227" s="4"/>
      <c r="M227" s="17"/>
      <c r="N227" s="4"/>
      <c r="O227" s="4"/>
      <c r="U227" s="4"/>
      <c r="V227" s="4"/>
      <c r="W227" s="4"/>
      <c r="X227" s="4"/>
    </row>
    <row r="228" spans="10:24" ht="12.75" x14ac:dyDescent="0.2">
      <c r="J228" s="4"/>
      <c r="K228" s="79"/>
      <c r="L228" s="4"/>
      <c r="M228" s="17"/>
      <c r="N228" s="4"/>
      <c r="O228" s="4"/>
      <c r="U228" s="4"/>
      <c r="V228" s="4"/>
      <c r="W228" s="4"/>
      <c r="X228" s="4"/>
    </row>
    <row r="229" spans="10:24" ht="12.75" x14ac:dyDescent="0.2">
      <c r="J229" s="4"/>
      <c r="K229" s="79"/>
      <c r="L229" s="4"/>
      <c r="M229" s="17"/>
      <c r="N229" s="4"/>
      <c r="O229" s="4"/>
      <c r="U229" s="4"/>
      <c r="V229" s="4"/>
      <c r="W229" s="4"/>
      <c r="X229" s="4"/>
    </row>
    <row r="230" spans="10:24" ht="12.75" x14ac:dyDescent="0.2">
      <c r="J230" s="4"/>
      <c r="K230" s="79"/>
      <c r="L230" s="4"/>
      <c r="M230" s="17"/>
      <c r="N230" s="4"/>
      <c r="O230" s="4"/>
      <c r="U230" s="4"/>
      <c r="V230" s="4"/>
      <c r="W230" s="4"/>
      <c r="X230" s="4"/>
    </row>
    <row r="231" spans="10:24" ht="12.75" x14ac:dyDescent="0.2">
      <c r="J231" s="4"/>
      <c r="K231" s="79"/>
      <c r="L231" s="4"/>
      <c r="M231" s="17"/>
      <c r="N231" s="4"/>
      <c r="O231" s="4"/>
      <c r="U231" s="4"/>
      <c r="V231" s="4"/>
      <c r="W231" s="4"/>
      <c r="X231" s="4"/>
    </row>
    <row r="232" spans="10:24" ht="12.75" x14ac:dyDescent="0.2">
      <c r="J232" s="4"/>
      <c r="K232" s="79"/>
      <c r="L232" s="4"/>
      <c r="M232" s="17"/>
      <c r="N232" s="4"/>
      <c r="O232" s="4"/>
      <c r="U232" s="4"/>
      <c r="V232" s="4"/>
      <c r="W232" s="4"/>
      <c r="X232" s="4"/>
    </row>
    <row r="233" spans="10:24" ht="12.75" x14ac:dyDescent="0.2">
      <c r="J233" s="4"/>
      <c r="K233" s="79"/>
      <c r="L233" s="4"/>
      <c r="M233" s="17"/>
      <c r="N233" s="4"/>
      <c r="O233" s="4"/>
      <c r="U233" s="4"/>
      <c r="V233" s="4"/>
      <c r="W233" s="4"/>
      <c r="X233" s="4"/>
    </row>
    <row r="234" spans="10:24" ht="12.75" x14ac:dyDescent="0.2">
      <c r="J234" s="4"/>
      <c r="K234" s="79"/>
      <c r="L234" s="4"/>
      <c r="M234" s="17"/>
      <c r="N234" s="4"/>
      <c r="O234" s="4"/>
      <c r="U234" s="4"/>
      <c r="V234" s="4"/>
      <c r="W234" s="4"/>
      <c r="X234" s="4"/>
    </row>
    <row r="235" spans="10:24" ht="12.75" x14ac:dyDescent="0.2">
      <c r="J235" s="4"/>
      <c r="K235" s="79"/>
      <c r="L235" s="4"/>
      <c r="M235" s="17"/>
      <c r="N235" s="4"/>
      <c r="O235" s="4"/>
      <c r="U235" s="4"/>
      <c r="V235" s="4"/>
      <c r="W235" s="4"/>
      <c r="X235" s="4"/>
    </row>
    <row r="236" spans="10:24" ht="12.75" x14ac:dyDescent="0.2">
      <c r="J236" s="4"/>
      <c r="K236" s="79"/>
      <c r="L236" s="4"/>
      <c r="M236" s="17"/>
      <c r="N236" s="4"/>
      <c r="O236" s="4"/>
      <c r="U236" s="4"/>
      <c r="V236" s="4"/>
      <c r="W236" s="4"/>
      <c r="X236" s="4"/>
    </row>
    <row r="237" spans="10:24" ht="12.75" x14ac:dyDescent="0.2">
      <c r="J237" s="4"/>
      <c r="K237" s="79"/>
      <c r="L237" s="4"/>
      <c r="M237" s="17"/>
      <c r="N237" s="4"/>
      <c r="O237" s="4"/>
      <c r="U237" s="4"/>
      <c r="V237" s="4"/>
      <c r="W237" s="4"/>
      <c r="X237" s="4"/>
    </row>
    <row r="238" spans="10:24" ht="12.75" x14ac:dyDescent="0.2">
      <c r="J238" s="4"/>
      <c r="K238" s="79"/>
      <c r="L238" s="4"/>
      <c r="M238" s="17"/>
      <c r="N238" s="4"/>
      <c r="O238" s="4"/>
      <c r="U238" s="4"/>
      <c r="V238" s="4"/>
      <c r="W238" s="4"/>
      <c r="X238" s="4"/>
    </row>
    <row r="239" spans="10:24" ht="12.75" x14ac:dyDescent="0.2">
      <c r="J239" s="4"/>
      <c r="K239" s="79"/>
      <c r="L239" s="4"/>
      <c r="M239" s="17"/>
      <c r="N239" s="4"/>
      <c r="O239" s="4"/>
      <c r="U239" s="4"/>
      <c r="V239" s="4"/>
      <c r="W239" s="4"/>
      <c r="X239" s="4"/>
    </row>
    <row r="240" spans="10:24" ht="12.75" x14ac:dyDescent="0.2">
      <c r="J240" s="4"/>
      <c r="K240" s="79"/>
      <c r="L240" s="4"/>
      <c r="M240" s="17"/>
      <c r="N240" s="4"/>
      <c r="O240" s="4"/>
      <c r="U240" s="4"/>
      <c r="V240" s="4"/>
      <c r="W240" s="4"/>
      <c r="X240" s="4"/>
    </row>
    <row r="241" spans="10:24" ht="12.75" x14ac:dyDescent="0.2">
      <c r="J241" s="4"/>
      <c r="K241" s="79"/>
      <c r="L241" s="4"/>
      <c r="M241" s="17"/>
      <c r="N241" s="4"/>
      <c r="O241" s="4"/>
      <c r="U241" s="4"/>
      <c r="V241" s="4"/>
      <c r="W241" s="4"/>
      <c r="X241" s="4"/>
    </row>
    <row r="242" spans="10:24" ht="12.75" x14ac:dyDescent="0.2">
      <c r="J242" s="4"/>
      <c r="K242" s="79"/>
      <c r="L242" s="4"/>
      <c r="M242" s="17"/>
      <c r="N242" s="4"/>
      <c r="O242" s="4"/>
      <c r="U242" s="4"/>
      <c r="V242" s="4"/>
      <c r="W242" s="4"/>
      <c r="X242" s="4"/>
    </row>
    <row r="243" spans="10:24" ht="12.75" x14ac:dyDescent="0.2">
      <c r="J243" s="4"/>
      <c r="K243" s="79"/>
      <c r="L243" s="4"/>
      <c r="M243" s="17"/>
      <c r="N243" s="4"/>
      <c r="O243" s="4"/>
      <c r="U243" s="4"/>
      <c r="V243" s="4"/>
      <c r="W243" s="4"/>
      <c r="X243" s="4"/>
    </row>
    <row r="244" spans="10:24" ht="12.75" x14ac:dyDescent="0.2">
      <c r="J244" s="4"/>
      <c r="K244" s="79"/>
      <c r="L244" s="4"/>
      <c r="M244" s="17"/>
      <c r="N244" s="4"/>
      <c r="O244" s="4"/>
      <c r="U244" s="4"/>
      <c r="V244" s="4"/>
      <c r="W244" s="4"/>
      <c r="X244" s="4"/>
    </row>
    <row r="245" spans="10:24" ht="12.75" x14ac:dyDescent="0.2">
      <c r="J245" s="4"/>
      <c r="K245" s="79"/>
      <c r="L245" s="4"/>
      <c r="M245" s="17"/>
      <c r="N245" s="4"/>
      <c r="O245" s="4"/>
      <c r="U245" s="4"/>
      <c r="V245" s="4"/>
      <c r="W245" s="4"/>
      <c r="X245" s="4"/>
    </row>
    <row r="246" spans="10:24" ht="12.75" x14ac:dyDescent="0.2">
      <c r="J246" s="4"/>
      <c r="K246" s="79"/>
      <c r="L246" s="4"/>
      <c r="M246" s="17"/>
      <c r="N246" s="4"/>
      <c r="O246" s="4"/>
      <c r="U246" s="4"/>
      <c r="V246" s="4"/>
      <c r="W246" s="4"/>
      <c r="X246" s="4"/>
    </row>
    <row r="247" spans="10:24" ht="12.75" x14ac:dyDescent="0.2">
      <c r="J247" s="4"/>
      <c r="K247" s="79"/>
      <c r="L247" s="4"/>
      <c r="M247" s="17"/>
      <c r="N247" s="4"/>
      <c r="O247" s="4"/>
      <c r="U247" s="4"/>
      <c r="V247" s="4"/>
      <c r="W247" s="4"/>
      <c r="X247" s="4"/>
    </row>
    <row r="248" spans="10:24" ht="12.75" x14ac:dyDescent="0.2">
      <c r="J248" s="4"/>
      <c r="K248" s="79"/>
      <c r="L248" s="4"/>
      <c r="M248" s="17"/>
      <c r="N248" s="4"/>
      <c r="O248" s="4"/>
      <c r="U248" s="4"/>
      <c r="V248" s="4"/>
      <c r="W248" s="4"/>
      <c r="X248" s="4"/>
    </row>
    <row r="249" spans="10:24" ht="12.75" x14ac:dyDescent="0.2">
      <c r="J249" s="4"/>
      <c r="K249" s="79"/>
      <c r="L249" s="4"/>
      <c r="M249" s="17"/>
      <c r="N249" s="4"/>
      <c r="O249" s="4"/>
      <c r="U249" s="4"/>
      <c r="V249" s="4"/>
      <c r="W249" s="4"/>
      <c r="X249" s="4"/>
    </row>
    <row r="250" spans="10:24" ht="12.75" x14ac:dyDescent="0.2">
      <c r="J250" s="4"/>
      <c r="K250" s="79"/>
      <c r="L250" s="4"/>
      <c r="M250" s="17"/>
      <c r="N250" s="4"/>
      <c r="O250" s="4"/>
      <c r="U250" s="4"/>
      <c r="V250" s="4"/>
      <c r="W250" s="4"/>
      <c r="X250" s="4"/>
    </row>
    <row r="251" spans="10:24" ht="12.75" x14ac:dyDescent="0.2">
      <c r="J251" s="4"/>
      <c r="K251" s="79"/>
      <c r="L251" s="4"/>
      <c r="M251" s="17"/>
      <c r="N251" s="4"/>
      <c r="O251" s="4"/>
      <c r="U251" s="4"/>
      <c r="V251" s="4"/>
      <c r="W251" s="4"/>
      <c r="X251" s="4"/>
    </row>
    <row r="252" spans="10:24" ht="12.75" x14ac:dyDescent="0.2">
      <c r="J252" s="4"/>
      <c r="K252" s="79"/>
      <c r="L252" s="4"/>
      <c r="M252" s="17"/>
      <c r="N252" s="4"/>
      <c r="O252" s="4"/>
      <c r="U252" s="4"/>
      <c r="V252" s="4"/>
      <c r="W252" s="4"/>
      <c r="X252" s="4"/>
    </row>
    <row r="253" spans="10:24" ht="12.75" x14ac:dyDescent="0.2">
      <c r="J253" s="4"/>
      <c r="K253" s="79"/>
      <c r="L253" s="4"/>
      <c r="M253" s="17"/>
      <c r="N253" s="4"/>
      <c r="O253" s="4"/>
      <c r="U253" s="4"/>
      <c r="V253" s="4"/>
      <c r="W253" s="4"/>
      <c r="X253" s="4"/>
    </row>
    <row r="254" spans="10:24" ht="12.75" x14ac:dyDescent="0.2">
      <c r="J254" s="4"/>
      <c r="K254" s="79"/>
      <c r="L254" s="4"/>
      <c r="M254" s="17"/>
      <c r="N254" s="4"/>
      <c r="O254" s="4"/>
      <c r="U254" s="4"/>
      <c r="V254" s="4"/>
      <c r="W254" s="4"/>
      <c r="X254" s="4"/>
    </row>
    <row r="255" spans="10:24" ht="12.75" x14ac:dyDescent="0.2">
      <c r="J255" s="4"/>
      <c r="K255" s="79"/>
      <c r="L255" s="4"/>
      <c r="M255" s="17"/>
      <c r="N255" s="4"/>
      <c r="O255" s="4"/>
      <c r="U255" s="4"/>
      <c r="V255" s="4"/>
      <c r="W255" s="4"/>
      <c r="X255" s="4"/>
    </row>
    <row r="256" spans="10:24" ht="12.75" x14ac:dyDescent="0.2">
      <c r="J256" s="4"/>
      <c r="K256" s="79"/>
      <c r="L256" s="4"/>
      <c r="M256" s="17"/>
      <c r="N256" s="4"/>
      <c r="O256" s="4"/>
      <c r="U256" s="4"/>
      <c r="V256" s="4"/>
      <c r="W256" s="4"/>
      <c r="X256" s="4"/>
    </row>
    <row r="257" spans="10:24" ht="12.75" x14ac:dyDescent="0.2">
      <c r="J257" s="4"/>
      <c r="K257" s="79"/>
      <c r="L257" s="4"/>
      <c r="M257" s="17"/>
      <c r="N257" s="4"/>
      <c r="O257" s="4"/>
      <c r="U257" s="4"/>
      <c r="V257" s="4"/>
      <c r="W257" s="4"/>
      <c r="X257" s="4"/>
    </row>
    <row r="258" spans="10:24" ht="12.75" x14ac:dyDescent="0.2">
      <c r="J258" s="4"/>
      <c r="K258" s="79"/>
      <c r="L258" s="4"/>
      <c r="M258" s="17"/>
      <c r="N258" s="4"/>
      <c r="O258" s="4"/>
      <c r="U258" s="4"/>
      <c r="V258" s="4"/>
      <c r="W258" s="4"/>
      <c r="X258" s="4"/>
    </row>
    <row r="259" spans="10:24" ht="12.75" x14ac:dyDescent="0.2">
      <c r="J259" s="4"/>
      <c r="K259" s="79"/>
      <c r="L259" s="4"/>
      <c r="M259" s="17"/>
      <c r="N259" s="4"/>
      <c r="O259" s="4"/>
      <c r="U259" s="4"/>
      <c r="V259" s="4"/>
      <c r="W259" s="4"/>
      <c r="X259" s="4"/>
    </row>
    <row r="260" spans="10:24" ht="12.75" x14ac:dyDescent="0.2">
      <c r="J260" s="4"/>
      <c r="K260" s="79"/>
      <c r="L260" s="4"/>
      <c r="M260" s="17"/>
      <c r="N260" s="4"/>
      <c r="O260" s="4"/>
      <c r="U260" s="4"/>
      <c r="V260" s="4"/>
      <c r="W260" s="4"/>
      <c r="X260" s="4"/>
    </row>
    <row r="261" spans="10:24" ht="12.75" x14ac:dyDescent="0.2">
      <c r="J261" s="4"/>
      <c r="K261" s="79"/>
      <c r="L261" s="4"/>
      <c r="M261" s="17"/>
      <c r="N261" s="4"/>
      <c r="O261" s="4"/>
      <c r="U261" s="4"/>
      <c r="V261" s="4"/>
      <c r="W261" s="4"/>
      <c r="X261" s="4"/>
    </row>
    <row r="262" spans="10:24" ht="12.75" x14ac:dyDescent="0.2">
      <c r="J262" s="4"/>
      <c r="K262" s="79"/>
      <c r="L262" s="4"/>
      <c r="M262" s="17"/>
      <c r="N262" s="4"/>
      <c r="O262" s="4"/>
      <c r="U262" s="4"/>
      <c r="V262" s="4"/>
      <c r="W262" s="4"/>
      <c r="X262" s="4"/>
    </row>
    <row r="263" spans="10:24" ht="12.75" x14ac:dyDescent="0.2">
      <c r="J263" s="4"/>
      <c r="K263" s="79"/>
      <c r="L263" s="4"/>
      <c r="M263" s="17"/>
      <c r="N263" s="4"/>
      <c r="O263" s="4"/>
      <c r="U263" s="4"/>
      <c r="V263" s="4"/>
      <c r="W263" s="4"/>
      <c r="X263" s="4"/>
    </row>
    <row r="264" spans="10:24" ht="12.75" x14ac:dyDescent="0.2">
      <c r="J264" s="4"/>
      <c r="K264" s="79"/>
      <c r="L264" s="4"/>
      <c r="M264" s="17"/>
      <c r="N264" s="4"/>
      <c r="O264" s="4"/>
      <c r="U264" s="4"/>
      <c r="V264" s="4"/>
      <c r="W264" s="4"/>
      <c r="X264" s="4"/>
    </row>
    <row r="265" spans="10:24" ht="12.75" x14ac:dyDescent="0.2">
      <c r="J265" s="4"/>
      <c r="K265" s="79"/>
      <c r="L265" s="4"/>
      <c r="M265" s="17"/>
      <c r="N265" s="4"/>
      <c r="O265" s="4"/>
      <c r="U265" s="4"/>
      <c r="V265" s="4"/>
      <c r="W265" s="4"/>
      <c r="X265" s="4"/>
    </row>
    <row r="266" spans="10:24" ht="12.75" x14ac:dyDescent="0.2">
      <c r="J266" s="4"/>
      <c r="K266" s="79"/>
      <c r="L266" s="4"/>
      <c r="M266" s="17"/>
      <c r="N266" s="4"/>
      <c r="O266" s="4"/>
      <c r="U266" s="4"/>
      <c r="V266" s="4"/>
      <c r="W266" s="4"/>
      <c r="X266" s="4"/>
    </row>
    <row r="267" spans="10:24" ht="12.75" x14ac:dyDescent="0.2">
      <c r="J267" s="4"/>
      <c r="K267" s="79"/>
      <c r="L267" s="4"/>
      <c r="M267" s="17"/>
      <c r="N267" s="4"/>
      <c r="O267" s="4"/>
      <c r="U267" s="4"/>
      <c r="V267" s="4"/>
      <c r="W267" s="4"/>
      <c r="X267" s="4"/>
    </row>
    <row r="268" spans="10:24" ht="12.75" x14ac:dyDescent="0.2">
      <c r="J268" s="4"/>
      <c r="K268" s="79"/>
      <c r="L268" s="4"/>
      <c r="M268" s="17"/>
      <c r="N268" s="4"/>
      <c r="O268" s="4"/>
      <c r="U268" s="4"/>
      <c r="V268" s="4"/>
      <c r="W268" s="4"/>
      <c r="X268" s="4"/>
    </row>
    <row r="269" spans="10:24" ht="12.75" x14ac:dyDescent="0.2">
      <c r="J269" s="4"/>
      <c r="K269" s="79"/>
      <c r="L269" s="4"/>
      <c r="M269" s="17"/>
      <c r="N269" s="4"/>
      <c r="O269" s="4"/>
      <c r="U269" s="4"/>
      <c r="V269" s="4"/>
      <c r="W269" s="4"/>
      <c r="X269" s="4"/>
    </row>
    <row r="270" spans="10:24" ht="12.75" x14ac:dyDescent="0.2">
      <c r="J270" s="4"/>
      <c r="K270" s="79"/>
      <c r="L270" s="4"/>
      <c r="M270" s="17"/>
      <c r="N270" s="4"/>
      <c r="O270" s="4"/>
      <c r="U270" s="4"/>
      <c r="V270" s="4"/>
      <c r="W270" s="4"/>
      <c r="X270" s="4"/>
    </row>
    <row r="271" spans="10:24" ht="12.75" x14ac:dyDescent="0.2">
      <c r="J271" s="4"/>
      <c r="K271" s="79"/>
      <c r="L271" s="4"/>
      <c r="M271" s="17"/>
      <c r="N271" s="4"/>
      <c r="O271" s="4"/>
      <c r="U271" s="4"/>
      <c r="V271" s="4"/>
      <c r="W271" s="4"/>
      <c r="X271" s="4"/>
    </row>
    <row r="272" spans="10:24" ht="12.75" x14ac:dyDescent="0.2">
      <c r="J272" s="4"/>
      <c r="K272" s="79"/>
      <c r="L272" s="4"/>
      <c r="M272" s="17"/>
      <c r="N272" s="4"/>
      <c r="O272" s="4"/>
      <c r="U272" s="4"/>
      <c r="V272" s="4"/>
      <c r="W272" s="4"/>
      <c r="X272" s="4"/>
    </row>
    <row r="273" spans="10:24" ht="12.75" x14ac:dyDescent="0.2">
      <c r="J273" s="4"/>
      <c r="K273" s="79"/>
      <c r="L273" s="4"/>
      <c r="M273" s="17"/>
      <c r="N273" s="4"/>
      <c r="O273" s="4"/>
      <c r="U273" s="4"/>
      <c r="V273" s="4"/>
      <c r="W273" s="4"/>
      <c r="X273" s="4"/>
    </row>
    <row r="274" spans="10:24" ht="12.75" x14ac:dyDescent="0.2">
      <c r="J274" s="4"/>
      <c r="K274" s="79"/>
      <c r="L274" s="4"/>
      <c r="M274" s="17"/>
      <c r="N274" s="4"/>
      <c r="O274" s="4"/>
      <c r="U274" s="4"/>
      <c r="V274" s="4"/>
      <c r="W274" s="4"/>
      <c r="X274" s="4"/>
    </row>
    <row r="275" spans="10:24" ht="12.75" x14ac:dyDescent="0.2">
      <c r="J275" s="4"/>
      <c r="K275" s="79"/>
      <c r="L275" s="4"/>
      <c r="M275" s="17"/>
      <c r="N275" s="4"/>
      <c r="O275" s="4"/>
      <c r="U275" s="4"/>
      <c r="V275" s="4"/>
      <c r="W275" s="4"/>
      <c r="X275" s="4"/>
    </row>
    <row r="276" spans="10:24" ht="12.75" x14ac:dyDescent="0.2">
      <c r="J276" s="4"/>
      <c r="K276" s="79"/>
      <c r="L276" s="4"/>
      <c r="M276" s="17"/>
      <c r="N276" s="4"/>
      <c r="O276" s="4"/>
      <c r="U276" s="4"/>
      <c r="V276" s="4"/>
      <c r="W276" s="4"/>
      <c r="X276" s="4"/>
    </row>
    <row r="277" spans="10:24" ht="12.75" x14ac:dyDescent="0.2">
      <c r="J277" s="4"/>
      <c r="K277" s="79"/>
      <c r="L277" s="4"/>
      <c r="M277" s="17"/>
      <c r="N277" s="4"/>
      <c r="O277" s="4"/>
      <c r="U277" s="4"/>
      <c r="V277" s="4"/>
      <c r="W277" s="4"/>
      <c r="X277" s="4"/>
    </row>
    <row r="278" spans="10:24" ht="12.75" x14ac:dyDescent="0.2">
      <c r="J278" s="4"/>
      <c r="K278" s="79"/>
      <c r="L278" s="4"/>
      <c r="M278" s="17"/>
      <c r="N278" s="4"/>
      <c r="O278" s="4"/>
      <c r="U278" s="4"/>
      <c r="V278" s="4"/>
      <c r="W278" s="4"/>
      <c r="X278" s="4"/>
    </row>
    <row r="279" spans="10:24" ht="12.75" x14ac:dyDescent="0.2">
      <c r="J279" s="4"/>
      <c r="K279" s="79"/>
      <c r="L279" s="4"/>
      <c r="M279" s="17"/>
      <c r="N279" s="4"/>
      <c r="O279" s="4"/>
      <c r="U279" s="4"/>
      <c r="V279" s="4"/>
      <c r="W279" s="4"/>
      <c r="X279" s="4"/>
    </row>
    <row r="280" spans="10:24" ht="12.75" x14ac:dyDescent="0.2">
      <c r="J280" s="4"/>
      <c r="K280" s="79"/>
      <c r="L280" s="4"/>
      <c r="M280" s="17"/>
      <c r="N280" s="4"/>
      <c r="O280" s="4"/>
      <c r="U280" s="4"/>
      <c r="V280" s="4"/>
      <c r="W280" s="4"/>
      <c r="X280" s="4"/>
    </row>
    <row r="281" spans="10:24" ht="12.75" x14ac:dyDescent="0.2">
      <c r="J281" s="4"/>
      <c r="K281" s="79"/>
      <c r="L281" s="4"/>
      <c r="M281" s="17"/>
      <c r="N281" s="4"/>
      <c r="O281" s="4"/>
      <c r="U281" s="4"/>
      <c r="V281" s="4"/>
      <c r="W281" s="4"/>
      <c r="X281" s="4"/>
    </row>
    <row r="282" spans="10:24" ht="12.75" x14ac:dyDescent="0.2">
      <c r="J282" s="4"/>
      <c r="K282" s="79"/>
      <c r="L282" s="4"/>
      <c r="M282" s="17"/>
      <c r="N282" s="4"/>
      <c r="O282" s="4"/>
      <c r="U282" s="4"/>
      <c r="V282" s="4"/>
      <c r="W282" s="4"/>
      <c r="X282" s="4"/>
    </row>
    <row r="283" spans="10:24" ht="12.75" x14ac:dyDescent="0.2">
      <c r="J283" s="4"/>
      <c r="K283" s="79"/>
      <c r="L283" s="4"/>
      <c r="M283" s="17"/>
      <c r="N283" s="4"/>
      <c r="O283" s="4"/>
      <c r="U283" s="4"/>
      <c r="V283" s="4"/>
      <c r="W283" s="4"/>
      <c r="X283" s="4"/>
    </row>
    <row r="284" spans="10:24" ht="12.75" x14ac:dyDescent="0.2">
      <c r="J284" s="4"/>
      <c r="K284" s="79"/>
      <c r="L284" s="4"/>
      <c r="M284" s="17"/>
      <c r="N284" s="4"/>
      <c r="O284" s="4"/>
      <c r="U284" s="4"/>
      <c r="V284" s="4"/>
      <c r="W284" s="4"/>
      <c r="X284" s="4"/>
    </row>
    <row r="285" spans="10:24" ht="12.75" x14ac:dyDescent="0.2">
      <c r="J285" s="4"/>
      <c r="K285" s="79"/>
      <c r="L285" s="4"/>
      <c r="M285" s="17"/>
      <c r="N285" s="4"/>
      <c r="O285" s="4"/>
      <c r="U285" s="4"/>
      <c r="V285" s="4"/>
      <c r="W285" s="4"/>
      <c r="X285" s="4"/>
    </row>
    <row r="286" spans="10:24" ht="12.75" x14ac:dyDescent="0.2">
      <c r="J286" s="4"/>
      <c r="K286" s="79"/>
      <c r="L286" s="4"/>
      <c r="M286" s="17"/>
      <c r="N286" s="4"/>
      <c r="O286" s="4"/>
      <c r="U286" s="4"/>
      <c r="V286" s="4"/>
      <c r="W286" s="4"/>
      <c r="X286" s="4"/>
    </row>
    <row r="287" spans="10:24" ht="12.75" x14ac:dyDescent="0.2">
      <c r="J287" s="4"/>
      <c r="K287" s="79"/>
      <c r="L287" s="4"/>
      <c r="M287" s="17"/>
      <c r="N287" s="4"/>
      <c r="O287" s="4"/>
      <c r="U287" s="4"/>
      <c r="V287" s="4"/>
      <c r="W287" s="4"/>
      <c r="X287" s="4"/>
    </row>
    <row r="288" spans="10:24" ht="12.75" x14ac:dyDescent="0.2">
      <c r="J288" s="4"/>
      <c r="K288" s="79"/>
      <c r="L288" s="4"/>
      <c r="M288" s="17"/>
      <c r="N288" s="4"/>
      <c r="O288" s="4"/>
      <c r="U288" s="4"/>
      <c r="V288" s="4"/>
      <c r="W288" s="4"/>
      <c r="X288" s="4"/>
    </row>
    <row r="289" spans="10:24" ht="12.75" x14ac:dyDescent="0.2">
      <c r="J289" s="4"/>
      <c r="K289" s="79"/>
      <c r="L289" s="4"/>
      <c r="M289" s="17"/>
      <c r="N289" s="4"/>
      <c r="O289" s="4"/>
      <c r="U289" s="4"/>
      <c r="V289" s="4"/>
      <c r="W289" s="4"/>
      <c r="X289" s="4"/>
    </row>
    <row r="290" spans="10:24" ht="12.75" x14ac:dyDescent="0.2">
      <c r="J290" s="4"/>
      <c r="K290" s="79"/>
      <c r="L290" s="4"/>
      <c r="M290" s="17"/>
      <c r="N290" s="4"/>
      <c r="O290" s="4"/>
      <c r="U290" s="4"/>
      <c r="V290" s="4"/>
      <c r="W290" s="4"/>
      <c r="X290" s="4"/>
    </row>
    <row r="291" spans="10:24" ht="12.75" x14ac:dyDescent="0.2">
      <c r="J291" s="4"/>
      <c r="K291" s="79"/>
      <c r="L291" s="4"/>
      <c r="M291" s="17"/>
      <c r="N291" s="4"/>
      <c r="O291" s="4"/>
      <c r="U291" s="4"/>
      <c r="V291" s="4"/>
      <c r="W291" s="4"/>
      <c r="X291" s="4"/>
    </row>
    <row r="292" spans="10:24" ht="12.75" x14ac:dyDescent="0.2">
      <c r="J292" s="4"/>
      <c r="K292" s="79"/>
      <c r="L292" s="4"/>
      <c r="M292" s="17"/>
      <c r="N292" s="4"/>
      <c r="O292" s="4"/>
      <c r="U292" s="4"/>
      <c r="V292" s="4"/>
      <c r="W292" s="4"/>
      <c r="X292" s="4"/>
    </row>
    <row r="293" spans="10:24" ht="12.75" x14ac:dyDescent="0.2">
      <c r="J293" s="4"/>
      <c r="K293" s="79"/>
      <c r="L293" s="4"/>
      <c r="M293" s="17"/>
      <c r="N293" s="4"/>
      <c r="O293" s="4"/>
      <c r="U293" s="4"/>
      <c r="V293" s="4"/>
      <c r="W293" s="4"/>
      <c r="X293" s="4"/>
    </row>
    <row r="294" spans="10:24" ht="12.75" x14ac:dyDescent="0.2">
      <c r="J294" s="4"/>
      <c r="K294" s="79"/>
      <c r="L294" s="4"/>
      <c r="M294" s="17"/>
      <c r="N294" s="4"/>
      <c r="O294" s="4"/>
      <c r="U294" s="4"/>
      <c r="V294" s="4"/>
      <c r="W294" s="4"/>
      <c r="X294" s="4"/>
    </row>
    <row r="295" spans="10:24" ht="12.75" x14ac:dyDescent="0.2">
      <c r="J295" s="4"/>
      <c r="K295" s="79"/>
      <c r="L295" s="4"/>
      <c r="M295" s="17"/>
      <c r="N295" s="4"/>
      <c r="O295" s="4"/>
      <c r="U295" s="4"/>
      <c r="V295" s="4"/>
      <c r="W295" s="4"/>
      <c r="X295" s="4"/>
    </row>
    <row r="296" spans="10:24" ht="12.75" x14ac:dyDescent="0.2">
      <c r="J296" s="4"/>
      <c r="K296" s="79"/>
      <c r="L296" s="4"/>
      <c r="M296" s="17"/>
      <c r="N296" s="4"/>
      <c r="O296" s="4"/>
      <c r="U296" s="4"/>
      <c r="V296" s="4"/>
      <c r="W296" s="4"/>
      <c r="X296" s="4"/>
    </row>
    <row r="297" spans="10:24" ht="12.75" x14ac:dyDescent="0.2">
      <c r="J297" s="4"/>
      <c r="K297" s="79"/>
      <c r="L297" s="4"/>
      <c r="M297" s="17"/>
      <c r="N297" s="4"/>
      <c r="O297" s="4"/>
      <c r="U297" s="4"/>
      <c r="V297" s="4"/>
      <c r="W297" s="4"/>
      <c r="X297" s="4"/>
    </row>
    <row r="298" spans="10:24" ht="12.75" x14ac:dyDescent="0.2">
      <c r="J298" s="4"/>
      <c r="K298" s="79"/>
      <c r="L298" s="4"/>
      <c r="M298" s="17"/>
      <c r="N298" s="4"/>
      <c r="O298" s="4"/>
      <c r="U298" s="4"/>
      <c r="V298" s="4"/>
      <c r="W298" s="4"/>
      <c r="X298" s="4"/>
    </row>
    <row r="299" spans="10:24" ht="12.75" x14ac:dyDescent="0.2">
      <c r="J299" s="4"/>
      <c r="K299" s="79"/>
      <c r="L299" s="4"/>
      <c r="M299" s="17"/>
      <c r="N299" s="4"/>
      <c r="O299" s="4"/>
      <c r="U299" s="4"/>
      <c r="V299" s="4"/>
      <c r="W299" s="4"/>
      <c r="X299" s="4"/>
    </row>
    <row r="300" spans="10:24" ht="12.75" x14ac:dyDescent="0.2">
      <c r="J300" s="4"/>
      <c r="K300" s="79"/>
      <c r="L300" s="4"/>
      <c r="M300" s="17"/>
      <c r="N300" s="4"/>
      <c r="O300" s="4"/>
      <c r="U300" s="4"/>
      <c r="V300" s="4"/>
      <c r="W300" s="4"/>
      <c r="X300" s="4"/>
    </row>
    <row r="301" spans="10:24" ht="12.75" x14ac:dyDescent="0.2">
      <c r="J301" s="4"/>
      <c r="K301" s="79"/>
      <c r="L301" s="4"/>
      <c r="M301" s="17"/>
      <c r="N301" s="4"/>
      <c r="O301" s="4"/>
      <c r="U301" s="4"/>
      <c r="V301" s="4"/>
      <c r="W301" s="4"/>
      <c r="X301" s="4"/>
    </row>
    <row r="302" spans="10:24" ht="12.75" x14ac:dyDescent="0.2">
      <c r="J302" s="4"/>
      <c r="K302" s="79"/>
      <c r="L302" s="4"/>
      <c r="M302" s="17"/>
      <c r="N302" s="4"/>
      <c r="O302" s="4"/>
      <c r="U302" s="4"/>
      <c r="V302" s="4"/>
      <c r="W302" s="4"/>
      <c r="X302" s="4"/>
    </row>
    <row r="303" spans="10:24" ht="12.75" x14ac:dyDescent="0.2">
      <c r="J303" s="4"/>
      <c r="K303" s="79"/>
      <c r="L303" s="4"/>
      <c r="M303" s="17"/>
      <c r="N303" s="4"/>
      <c r="O303" s="4"/>
      <c r="U303" s="4"/>
      <c r="V303" s="4"/>
      <c r="W303" s="4"/>
      <c r="X303" s="4"/>
    </row>
    <row r="304" spans="10:24" ht="12.75" x14ac:dyDescent="0.2">
      <c r="J304" s="4"/>
      <c r="K304" s="79"/>
      <c r="L304" s="4"/>
      <c r="M304" s="17"/>
      <c r="N304" s="4"/>
      <c r="O304" s="4"/>
      <c r="U304" s="4"/>
      <c r="V304" s="4"/>
      <c r="W304" s="4"/>
      <c r="X304" s="4"/>
    </row>
    <row r="305" spans="10:24" ht="12.75" x14ac:dyDescent="0.2">
      <c r="J305" s="4"/>
      <c r="K305" s="79"/>
      <c r="L305" s="4"/>
      <c r="M305" s="17"/>
      <c r="N305" s="4"/>
      <c r="O305" s="4"/>
      <c r="U305" s="4"/>
      <c r="V305" s="4"/>
      <c r="W305" s="4"/>
      <c r="X305" s="4"/>
    </row>
    <row r="306" spans="10:24" ht="12.75" x14ac:dyDescent="0.2">
      <c r="J306" s="4"/>
      <c r="K306" s="79"/>
      <c r="L306" s="4"/>
      <c r="M306" s="17"/>
      <c r="N306" s="4"/>
      <c r="O306" s="4"/>
      <c r="U306" s="4"/>
      <c r="V306" s="4"/>
      <c r="W306" s="4"/>
      <c r="X306" s="4"/>
    </row>
    <row r="307" spans="10:24" ht="12.75" x14ac:dyDescent="0.2">
      <c r="J307" s="4"/>
      <c r="K307" s="79"/>
      <c r="L307" s="4"/>
      <c r="M307" s="17"/>
      <c r="N307" s="4"/>
      <c r="O307" s="4"/>
      <c r="U307" s="4"/>
      <c r="V307" s="4"/>
      <c r="W307" s="4"/>
      <c r="X307" s="4"/>
    </row>
    <row r="308" spans="10:24" ht="12.75" x14ac:dyDescent="0.2">
      <c r="J308" s="4"/>
      <c r="K308" s="79"/>
      <c r="L308" s="4"/>
      <c r="M308" s="17"/>
      <c r="N308" s="4"/>
      <c r="O308" s="4"/>
      <c r="U308" s="4"/>
      <c r="V308" s="4"/>
      <c r="W308" s="4"/>
      <c r="X308" s="4"/>
    </row>
    <row r="309" spans="10:24" ht="12.75" x14ac:dyDescent="0.2">
      <c r="J309" s="4"/>
      <c r="K309" s="79"/>
      <c r="L309" s="4"/>
      <c r="M309" s="17"/>
      <c r="N309" s="4"/>
      <c r="O309" s="4"/>
      <c r="U309" s="4"/>
      <c r="V309" s="4"/>
      <c r="W309" s="4"/>
      <c r="X309" s="4"/>
    </row>
    <row r="310" spans="10:24" ht="12.75" x14ac:dyDescent="0.2">
      <c r="J310" s="4"/>
      <c r="K310" s="79"/>
      <c r="L310" s="4"/>
      <c r="M310" s="17"/>
      <c r="N310" s="4"/>
      <c r="O310" s="4"/>
      <c r="U310" s="4"/>
      <c r="V310" s="4"/>
      <c r="W310" s="4"/>
      <c r="X310" s="4"/>
    </row>
    <row r="311" spans="10:24" ht="12.75" x14ac:dyDescent="0.2">
      <c r="J311" s="4"/>
      <c r="K311" s="79"/>
      <c r="L311" s="4"/>
      <c r="M311" s="17"/>
      <c r="N311" s="4"/>
      <c r="O311" s="4"/>
      <c r="U311" s="4"/>
      <c r="V311" s="4"/>
      <c r="W311" s="4"/>
      <c r="X311" s="4"/>
    </row>
    <row r="312" spans="10:24" ht="12.75" x14ac:dyDescent="0.2">
      <c r="J312" s="4"/>
      <c r="K312" s="79"/>
      <c r="L312" s="4"/>
      <c r="M312" s="17"/>
      <c r="N312" s="4"/>
      <c r="O312" s="4"/>
      <c r="U312" s="4"/>
      <c r="V312" s="4"/>
      <c r="W312" s="4"/>
      <c r="X312" s="4"/>
    </row>
    <row r="313" spans="10:24" ht="12.75" x14ac:dyDescent="0.2">
      <c r="J313" s="4"/>
      <c r="K313" s="79"/>
      <c r="L313" s="4"/>
      <c r="M313" s="17"/>
      <c r="N313" s="4"/>
      <c r="O313" s="4"/>
      <c r="U313" s="4"/>
      <c r="V313" s="4"/>
      <c r="W313" s="4"/>
      <c r="X313" s="4"/>
    </row>
    <row r="314" spans="10:24" ht="12.75" x14ac:dyDescent="0.2">
      <c r="J314" s="4"/>
      <c r="K314" s="79"/>
      <c r="L314" s="4"/>
      <c r="M314" s="17"/>
      <c r="N314" s="4"/>
      <c r="O314" s="4"/>
      <c r="U314" s="4"/>
      <c r="V314" s="4"/>
      <c r="W314" s="4"/>
      <c r="X314" s="4"/>
    </row>
    <row r="315" spans="10:24" ht="12.75" x14ac:dyDescent="0.2">
      <c r="J315" s="4"/>
      <c r="K315" s="79"/>
      <c r="L315" s="4"/>
      <c r="M315" s="17"/>
      <c r="N315" s="4"/>
      <c r="O315" s="4"/>
      <c r="U315" s="4"/>
      <c r="V315" s="4"/>
      <c r="W315" s="4"/>
      <c r="X315" s="4"/>
    </row>
    <row r="316" spans="10:24" ht="12.75" x14ac:dyDescent="0.2">
      <c r="J316" s="4"/>
      <c r="K316" s="79"/>
      <c r="L316" s="4"/>
      <c r="M316" s="17"/>
      <c r="N316" s="4"/>
      <c r="O316" s="4"/>
      <c r="U316" s="4"/>
      <c r="V316" s="4"/>
      <c r="W316" s="4"/>
      <c r="X316" s="4"/>
    </row>
    <row r="317" spans="10:24" ht="12.75" x14ac:dyDescent="0.2">
      <c r="J317" s="4"/>
      <c r="K317" s="79"/>
      <c r="L317" s="4"/>
      <c r="M317" s="17"/>
      <c r="N317" s="4"/>
      <c r="O317" s="4"/>
      <c r="U317" s="4"/>
      <c r="V317" s="4"/>
      <c r="W317" s="4"/>
      <c r="X317" s="4"/>
    </row>
    <row r="318" spans="10:24" ht="12.75" x14ac:dyDescent="0.2">
      <c r="J318" s="4"/>
      <c r="K318" s="79"/>
      <c r="L318" s="4"/>
      <c r="M318" s="17"/>
      <c r="N318" s="4"/>
      <c r="O318" s="4"/>
      <c r="U318" s="4"/>
      <c r="V318" s="4"/>
      <c r="W318" s="4"/>
      <c r="X318" s="4"/>
    </row>
    <row r="319" spans="10:24" ht="12.75" x14ac:dyDescent="0.2">
      <c r="J319" s="4"/>
      <c r="K319" s="79"/>
      <c r="L319" s="4"/>
      <c r="M319" s="17"/>
      <c r="N319" s="4"/>
      <c r="O319" s="4"/>
      <c r="U319" s="4"/>
      <c r="V319" s="4"/>
      <c r="W319" s="4"/>
      <c r="X319" s="4"/>
    </row>
    <row r="320" spans="10:24" ht="12.75" x14ac:dyDescent="0.2">
      <c r="J320" s="4"/>
      <c r="K320" s="79"/>
      <c r="L320" s="4"/>
      <c r="M320" s="17"/>
      <c r="N320" s="4"/>
      <c r="O320" s="4"/>
      <c r="U320" s="4"/>
      <c r="V320" s="4"/>
      <c r="W320" s="4"/>
      <c r="X320" s="4"/>
    </row>
    <row r="321" spans="10:24" ht="12.75" x14ac:dyDescent="0.2">
      <c r="J321" s="4"/>
      <c r="K321" s="79"/>
      <c r="L321" s="4"/>
      <c r="M321" s="17"/>
      <c r="N321" s="4"/>
      <c r="O321" s="4"/>
      <c r="U321" s="4"/>
      <c r="V321" s="4"/>
      <c r="W321" s="4"/>
      <c r="X321" s="4"/>
    </row>
    <row r="322" spans="10:24" ht="12.75" x14ac:dyDescent="0.2">
      <c r="J322" s="4"/>
      <c r="K322" s="79"/>
      <c r="L322" s="4"/>
      <c r="M322" s="17"/>
      <c r="N322" s="4"/>
      <c r="O322" s="4"/>
      <c r="U322" s="4"/>
      <c r="V322" s="4"/>
      <c r="W322" s="4"/>
      <c r="X322" s="4"/>
    </row>
    <row r="323" spans="10:24" ht="12.75" x14ac:dyDescent="0.2">
      <c r="J323" s="4"/>
      <c r="K323" s="79"/>
      <c r="L323" s="4"/>
      <c r="M323" s="17"/>
      <c r="N323" s="4"/>
      <c r="O323" s="4"/>
      <c r="U323" s="4"/>
      <c r="V323" s="4"/>
      <c r="W323" s="4"/>
      <c r="X323" s="4"/>
    </row>
    <row r="324" spans="10:24" ht="12.75" x14ac:dyDescent="0.2">
      <c r="J324" s="4"/>
      <c r="K324" s="79"/>
      <c r="L324" s="4"/>
      <c r="M324" s="17"/>
      <c r="N324" s="4"/>
      <c r="O324" s="4"/>
      <c r="U324" s="4"/>
      <c r="V324" s="4"/>
      <c r="W324" s="4"/>
      <c r="X324" s="4"/>
    </row>
    <row r="325" spans="10:24" ht="12.75" x14ac:dyDescent="0.2">
      <c r="J325" s="4"/>
      <c r="K325" s="79"/>
      <c r="L325" s="4"/>
      <c r="M325" s="17"/>
      <c r="N325" s="4"/>
      <c r="O325" s="4"/>
      <c r="U325" s="4"/>
      <c r="V325" s="4"/>
      <c r="W325" s="4"/>
      <c r="X325" s="4"/>
    </row>
    <row r="326" spans="10:24" ht="12.75" x14ac:dyDescent="0.2">
      <c r="J326" s="4"/>
      <c r="K326" s="79"/>
      <c r="L326" s="4"/>
      <c r="M326" s="17"/>
      <c r="N326" s="4"/>
      <c r="O326" s="4"/>
      <c r="U326" s="4"/>
      <c r="V326" s="4"/>
      <c r="W326" s="4"/>
      <c r="X326" s="4"/>
    </row>
    <row r="327" spans="10:24" ht="12.75" x14ac:dyDescent="0.2">
      <c r="J327" s="4"/>
      <c r="K327" s="79"/>
      <c r="L327" s="4"/>
      <c r="M327" s="17"/>
      <c r="N327" s="4"/>
      <c r="O327" s="4"/>
      <c r="U327" s="4"/>
      <c r="V327" s="4"/>
      <c r="W327" s="4"/>
      <c r="X327" s="4"/>
    </row>
    <row r="328" spans="10:24" ht="12.75" x14ac:dyDescent="0.2">
      <c r="J328" s="4"/>
      <c r="K328" s="79"/>
      <c r="L328" s="4"/>
      <c r="M328" s="17"/>
      <c r="N328" s="4"/>
      <c r="O328" s="4"/>
      <c r="U328" s="4"/>
      <c r="V328" s="4"/>
      <c r="W328" s="4"/>
      <c r="X328" s="4"/>
    </row>
    <row r="329" spans="10:24" ht="12.75" x14ac:dyDescent="0.2">
      <c r="J329" s="4"/>
      <c r="K329" s="79"/>
      <c r="L329" s="4"/>
      <c r="M329" s="17"/>
      <c r="N329" s="4"/>
      <c r="O329" s="4"/>
      <c r="U329" s="4"/>
      <c r="V329" s="4"/>
      <c r="W329" s="4"/>
      <c r="X329" s="4"/>
    </row>
    <row r="330" spans="10:24" ht="12.75" x14ac:dyDescent="0.2">
      <c r="J330" s="4"/>
      <c r="K330" s="79"/>
      <c r="L330" s="4"/>
      <c r="M330" s="17"/>
      <c r="N330" s="4"/>
      <c r="O330" s="4"/>
      <c r="U330" s="4"/>
      <c r="V330" s="4"/>
      <c r="W330" s="4"/>
      <c r="X330" s="4"/>
    </row>
    <row r="331" spans="10:24" ht="12.75" x14ac:dyDescent="0.2">
      <c r="J331" s="4"/>
      <c r="K331" s="79"/>
      <c r="L331" s="4"/>
      <c r="M331" s="17"/>
      <c r="N331" s="4"/>
      <c r="O331" s="4"/>
      <c r="U331" s="4"/>
      <c r="V331" s="4"/>
      <c r="W331" s="4"/>
      <c r="X331" s="4"/>
    </row>
    <row r="332" spans="10:24" ht="12.75" x14ac:dyDescent="0.2">
      <c r="J332" s="4"/>
      <c r="K332" s="79"/>
      <c r="L332" s="4"/>
      <c r="M332" s="17"/>
      <c r="N332" s="4"/>
      <c r="O332" s="4"/>
      <c r="U332" s="4"/>
      <c r="V332" s="4"/>
      <c r="W332" s="4"/>
      <c r="X332" s="4"/>
    </row>
    <row r="333" spans="10:24" ht="12.75" x14ac:dyDescent="0.2">
      <c r="J333" s="4"/>
      <c r="K333" s="79"/>
      <c r="L333" s="4"/>
      <c r="M333" s="17"/>
      <c r="N333" s="4"/>
      <c r="O333" s="4"/>
      <c r="U333" s="4"/>
      <c r="V333" s="4"/>
      <c r="W333" s="4"/>
      <c r="X333" s="4"/>
    </row>
    <row r="334" spans="10:24" ht="12.75" x14ac:dyDescent="0.2">
      <c r="J334" s="4"/>
      <c r="K334" s="79"/>
      <c r="L334" s="4"/>
      <c r="M334" s="17"/>
      <c r="N334" s="4"/>
      <c r="O334" s="4"/>
      <c r="U334" s="4"/>
      <c r="V334" s="4"/>
      <c r="W334" s="4"/>
      <c r="X334" s="4"/>
    </row>
    <row r="335" spans="10:24" ht="12.75" x14ac:dyDescent="0.2">
      <c r="J335" s="4"/>
      <c r="K335" s="79"/>
      <c r="L335" s="4"/>
      <c r="M335" s="17"/>
      <c r="N335" s="4"/>
      <c r="O335" s="4"/>
      <c r="U335" s="4"/>
      <c r="V335" s="4"/>
      <c r="W335" s="4"/>
      <c r="X335" s="4"/>
    </row>
    <row r="336" spans="10:24" ht="12.75" x14ac:dyDescent="0.2">
      <c r="J336" s="4"/>
      <c r="K336" s="79"/>
      <c r="L336" s="4"/>
      <c r="M336" s="17"/>
      <c r="N336" s="4"/>
      <c r="O336" s="4"/>
      <c r="U336" s="4"/>
      <c r="V336" s="4"/>
      <c r="W336" s="4"/>
      <c r="X336" s="4"/>
    </row>
    <row r="337" spans="10:24" ht="12.75" x14ac:dyDescent="0.2">
      <c r="J337" s="4"/>
      <c r="K337" s="79"/>
      <c r="L337" s="4"/>
      <c r="M337" s="17"/>
      <c r="N337" s="4"/>
      <c r="O337" s="4"/>
      <c r="U337" s="4"/>
      <c r="V337" s="4"/>
      <c r="W337" s="4"/>
      <c r="X337" s="4"/>
    </row>
    <row r="338" spans="10:24" ht="12.75" x14ac:dyDescent="0.2">
      <c r="J338" s="4"/>
      <c r="K338" s="79"/>
      <c r="L338" s="4"/>
      <c r="M338" s="17"/>
      <c r="N338" s="4"/>
      <c r="O338" s="4"/>
      <c r="U338" s="4"/>
      <c r="V338" s="4"/>
      <c r="W338" s="4"/>
      <c r="X338" s="4"/>
    </row>
    <row r="339" spans="10:24" ht="12.75" x14ac:dyDescent="0.2">
      <c r="J339" s="4"/>
      <c r="K339" s="79"/>
      <c r="L339" s="4"/>
      <c r="M339" s="17"/>
      <c r="N339" s="4"/>
      <c r="O339" s="4"/>
      <c r="U339" s="4"/>
      <c r="V339" s="4"/>
      <c r="W339" s="4"/>
      <c r="X339" s="4"/>
    </row>
    <row r="340" spans="10:24" ht="12.75" x14ac:dyDescent="0.2">
      <c r="J340" s="4"/>
      <c r="K340" s="79"/>
      <c r="L340" s="4"/>
      <c r="M340" s="17"/>
      <c r="N340" s="4"/>
      <c r="O340" s="4"/>
      <c r="U340" s="4"/>
      <c r="V340" s="4"/>
      <c r="W340" s="4"/>
      <c r="X340" s="4"/>
    </row>
    <row r="341" spans="10:24" ht="12.75" x14ac:dyDescent="0.2">
      <c r="J341" s="4"/>
      <c r="K341" s="79"/>
      <c r="L341" s="4"/>
      <c r="M341" s="17"/>
      <c r="N341" s="4"/>
      <c r="O341" s="4"/>
      <c r="U341" s="4"/>
      <c r="V341" s="4"/>
      <c r="W341" s="4"/>
      <c r="X341" s="4"/>
    </row>
    <row r="342" spans="10:24" ht="12.75" x14ac:dyDescent="0.2">
      <c r="J342" s="4"/>
      <c r="K342" s="79"/>
      <c r="L342" s="4"/>
      <c r="M342" s="17"/>
      <c r="N342" s="4"/>
      <c r="O342" s="4"/>
      <c r="U342" s="4"/>
      <c r="V342" s="4"/>
      <c r="W342" s="4"/>
      <c r="X342" s="4"/>
    </row>
    <row r="343" spans="10:24" ht="12.75" x14ac:dyDescent="0.2">
      <c r="J343" s="4"/>
      <c r="K343" s="79"/>
      <c r="L343" s="4"/>
      <c r="M343" s="17"/>
      <c r="N343" s="4"/>
      <c r="O343" s="4"/>
      <c r="U343" s="4"/>
      <c r="V343" s="4"/>
      <c r="W343" s="4"/>
      <c r="X343" s="4"/>
    </row>
    <row r="344" spans="10:24" ht="12.75" x14ac:dyDescent="0.2">
      <c r="J344" s="4"/>
      <c r="K344" s="79"/>
      <c r="L344" s="4"/>
      <c r="M344" s="17"/>
      <c r="N344" s="4"/>
      <c r="O344" s="4"/>
      <c r="U344" s="4"/>
      <c r="V344" s="4"/>
      <c r="W344" s="4"/>
      <c r="X344" s="4"/>
    </row>
    <row r="345" spans="10:24" ht="12.75" x14ac:dyDescent="0.2">
      <c r="J345" s="4"/>
      <c r="K345" s="79"/>
      <c r="L345" s="4"/>
      <c r="M345" s="17"/>
      <c r="N345" s="4"/>
      <c r="O345" s="4"/>
      <c r="U345" s="4"/>
      <c r="V345" s="4"/>
      <c r="W345" s="4"/>
      <c r="X345" s="4"/>
    </row>
    <row r="346" spans="10:24" ht="12.75" x14ac:dyDescent="0.2">
      <c r="J346" s="4"/>
      <c r="K346" s="79"/>
      <c r="L346" s="4"/>
      <c r="M346" s="17"/>
      <c r="N346" s="4"/>
      <c r="O346" s="4"/>
      <c r="U346" s="4"/>
      <c r="V346" s="4"/>
      <c r="W346" s="4"/>
      <c r="X346" s="4"/>
    </row>
    <row r="347" spans="10:24" ht="12.75" x14ac:dyDescent="0.2">
      <c r="J347" s="4"/>
      <c r="K347" s="79"/>
      <c r="L347" s="4"/>
      <c r="M347" s="17"/>
      <c r="N347" s="4"/>
      <c r="O347" s="4"/>
      <c r="U347" s="4"/>
      <c r="V347" s="4"/>
      <c r="W347" s="4"/>
      <c r="X347" s="4"/>
    </row>
    <row r="348" spans="10:24" ht="12.75" x14ac:dyDescent="0.2">
      <c r="J348" s="4"/>
      <c r="K348" s="79"/>
      <c r="L348" s="4"/>
      <c r="M348" s="17"/>
      <c r="N348" s="4"/>
      <c r="O348" s="4"/>
      <c r="U348" s="4"/>
      <c r="V348" s="4"/>
      <c r="W348" s="4"/>
      <c r="X348" s="4"/>
    </row>
    <row r="349" spans="10:24" ht="12.75" x14ac:dyDescent="0.2">
      <c r="J349" s="4"/>
      <c r="K349" s="79"/>
      <c r="L349" s="4"/>
      <c r="M349" s="17"/>
      <c r="N349" s="4"/>
      <c r="O349" s="4"/>
      <c r="U349" s="4"/>
      <c r="V349" s="4"/>
      <c r="W349" s="4"/>
      <c r="X349" s="4"/>
    </row>
    <row r="350" spans="10:24" ht="12.75" x14ac:dyDescent="0.2">
      <c r="J350" s="4"/>
      <c r="K350" s="79"/>
      <c r="L350" s="4"/>
      <c r="M350" s="17"/>
      <c r="N350" s="4"/>
      <c r="O350" s="4"/>
      <c r="U350" s="4"/>
      <c r="V350" s="4"/>
      <c r="W350" s="4"/>
      <c r="X350" s="4"/>
    </row>
    <row r="351" spans="10:24" ht="12.75" x14ac:dyDescent="0.2">
      <c r="J351" s="4"/>
      <c r="K351" s="79"/>
      <c r="L351" s="4"/>
      <c r="M351" s="17"/>
      <c r="N351" s="4"/>
      <c r="O351" s="4"/>
      <c r="U351" s="4"/>
      <c r="V351" s="4"/>
      <c r="W351" s="4"/>
      <c r="X351" s="4"/>
    </row>
    <row r="352" spans="10:24" ht="12.75" x14ac:dyDescent="0.2">
      <c r="J352" s="4"/>
      <c r="K352" s="79"/>
      <c r="L352" s="4"/>
      <c r="M352" s="17"/>
      <c r="N352" s="4"/>
      <c r="O352" s="4"/>
      <c r="U352" s="4"/>
      <c r="V352" s="4"/>
      <c r="W352" s="4"/>
      <c r="X352" s="4"/>
    </row>
    <row r="353" spans="10:24" ht="12.75" x14ac:dyDescent="0.2">
      <c r="J353" s="4"/>
      <c r="K353" s="79"/>
      <c r="L353" s="4"/>
      <c r="M353" s="17"/>
      <c r="N353" s="4"/>
      <c r="O353" s="4"/>
      <c r="U353" s="4"/>
      <c r="V353" s="4"/>
      <c r="W353" s="4"/>
      <c r="X353" s="4"/>
    </row>
    <row r="354" spans="10:24" ht="12.75" x14ac:dyDescent="0.2">
      <c r="J354" s="4"/>
      <c r="K354" s="79"/>
      <c r="L354" s="4"/>
      <c r="M354" s="17"/>
      <c r="N354" s="4"/>
      <c r="O354" s="4"/>
      <c r="U354" s="4"/>
      <c r="V354" s="4"/>
      <c r="W354" s="4"/>
      <c r="X354" s="4"/>
    </row>
    <row r="355" spans="10:24" ht="12.75" x14ac:dyDescent="0.2">
      <c r="J355" s="4"/>
      <c r="K355" s="79"/>
      <c r="L355" s="4"/>
      <c r="M355" s="17"/>
      <c r="N355" s="4"/>
      <c r="O355" s="4"/>
      <c r="U355" s="4"/>
      <c r="V355" s="4"/>
      <c r="W355" s="4"/>
      <c r="X355" s="4"/>
    </row>
    <row r="356" spans="10:24" ht="12.75" x14ac:dyDescent="0.2">
      <c r="J356" s="4"/>
      <c r="K356" s="79"/>
      <c r="L356" s="4"/>
      <c r="M356" s="17"/>
      <c r="N356" s="4"/>
      <c r="O356" s="4"/>
      <c r="U356" s="4"/>
      <c r="V356" s="4"/>
      <c r="W356" s="4"/>
      <c r="X356" s="4"/>
    </row>
    <row r="357" spans="10:24" ht="12.75" x14ac:dyDescent="0.2">
      <c r="J357" s="4"/>
      <c r="K357" s="79"/>
      <c r="L357" s="4"/>
      <c r="M357" s="17"/>
      <c r="N357" s="4"/>
      <c r="O357" s="4"/>
      <c r="U357" s="4"/>
      <c r="V357" s="4"/>
      <c r="W357" s="4"/>
      <c r="X357" s="4"/>
    </row>
    <row r="358" spans="10:24" ht="12.75" x14ac:dyDescent="0.2">
      <c r="J358" s="4"/>
      <c r="K358" s="79"/>
      <c r="L358" s="4"/>
      <c r="M358" s="17"/>
      <c r="N358" s="4"/>
      <c r="O358" s="4"/>
      <c r="U358" s="4"/>
      <c r="V358" s="4"/>
      <c r="W358" s="4"/>
      <c r="X358" s="4"/>
    </row>
    <row r="359" spans="10:24" ht="12.75" x14ac:dyDescent="0.2">
      <c r="J359" s="4"/>
      <c r="K359" s="79"/>
      <c r="L359" s="4"/>
      <c r="M359" s="17"/>
      <c r="N359" s="4"/>
      <c r="O359" s="4"/>
      <c r="U359" s="4"/>
      <c r="V359" s="4"/>
      <c r="W359" s="4"/>
      <c r="X359" s="4"/>
    </row>
    <row r="360" spans="10:24" ht="12.75" x14ac:dyDescent="0.2">
      <c r="J360" s="4"/>
      <c r="K360" s="79"/>
      <c r="L360" s="4"/>
      <c r="M360" s="17"/>
      <c r="N360" s="4"/>
      <c r="O360" s="4"/>
      <c r="U360" s="4"/>
      <c r="V360" s="4"/>
      <c r="W360" s="4"/>
      <c r="X360" s="4"/>
    </row>
    <row r="361" spans="10:24" ht="12.75" x14ac:dyDescent="0.2">
      <c r="J361" s="4"/>
      <c r="K361" s="79"/>
      <c r="L361" s="4"/>
      <c r="M361" s="17"/>
      <c r="N361" s="4"/>
      <c r="O361" s="4"/>
      <c r="U361" s="4"/>
      <c r="V361" s="4"/>
      <c r="W361" s="4"/>
      <c r="X361" s="4"/>
    </row>
    <row r="362" spans="10:24" ht="12.75" x14ac:dyDescent="0.2">
      <c r="J362" s="4"/>
      <c r="K362" s="79"/>
      <c r="L362" s="4"/>
      <c r="M362" s="17"/>
      <c r="N362" s="4"/>
      <c r="O362" s="4"/>
      <c r="U362" s="4"/>
      <c r="V362" s="4"/>
      <c r="W362" s="4"/>
      <c r="X362" s="4"/>
    </row>
    <row r="363" spans="10:24" ht="12.75" x14ac:dyDescent="0.2">
      <c r="J363" s="4"/>
      <c r="K363" s="79"/>
      <c r="L363" s="4"/>
      <c r="M363" s="17"/>
      <c r="N363" s="4"/>
      <c r="O363" s="4"/>
      <c r="U363" s="4"/>
      <c r="V363" s="4"/>
      <c r="W363" s="4"/>
      <c r="X363" s="4"/>
    </row>
    <row r="364" spans="10:24" ht="12.75" x14ac:dyDescent="0.2">
      <c r="J364" s="4"/>
      <c r="K364" s="79"/>
      <c r="L364" s="4"/>
      <c r="M364" s="17"/>
      <c r="N364" s="4"/>
      <c r="O364" s="4"/>
      <c r="U364" s="4"/>
      <c r="V364" s="4"/>
      <c r="W364" s="4"/>
      <c r="X364" s="4"/>
    </row>
    <row r="365" spans="10:24" ht="12.75" x14ac:dyDescent="0.2">
      <c r="J365" s="4"/>
      <c r="K365" s="79"/>
      <c r="L365" s="4"/>
      <c r="M365" s="17"/>
      <c r="N365" s="4"/>
      <c r="O365" s="4"/>
      <c r="U365" s="4"/>
      <c r="V365" s="4"/>
      <c r="W365" s="4"/>
      <c r="X365" s="4"/>
    </row>
    <row r="366" spans="10:24" ht="12.75" x14ac:dyDescent="0.2">
      <c r="J366" s="4"/>
      <c r="K366" s="79"/>
      <c r="L366" s="4"/>
      <c r="M366" s="17"/>
      <c r="N366" s="4"/>
      <c r="O366" s="4"/>
      <c r="U366" s="4"/>
      <c r="V366" s="4"/>
      <c r="W366" s="4"/>
      <c r="X366" s="4"/>
    </row>
    <row r="367" spans="10:24" ht="12.75" x14ac:dyDescent="0.2">
      <c r="J367" s="4"/>
      <c r="K367" s="79"/>
      <c r="L367" s="4"/>
      <c r="M367" s="17"/>
      <c r="N367" s="4"/>
      <c r="O367" s="4"/>
      <c r="U367" s="4"/>
      <c r="V367" s="4"/>
      <c r="W367" s="4"/>
      <c r="X367" s="4"/>
    </row>
    <row r="368" spans="10:24" ht="12.75" x14ac:dyDescent="0.2">
      <c r="J368" s="4"/>
      <c r="K368" s="79"/>
      <c r="L368" s="4"/>
      <c r="M368" s="17"/>
      <c r="N368" s="4"/>
      <c r="O368" s="4"/>
      <c r="U368" s="4"/>
      <c r="V368" s="4"/>
      <c r="W368" s="4"/>
      <c r="X368" s="4"/>
    </row>
    <row r="369" spans="10:24" ht="12.75" x14ac:dyDescent="0.2">
      <c r="J369" s="4"/>
      <c r="K369" s="79"/>
      <c r="L369" s="4"/>
      <c r="M369" s="17"/>
      <c r="N369" s="4"/>
      <c r="O369" s="4"/>
      <c r="U369" s="4"/>
      <c r="V369" s="4"/>
      <c r="W369" s="4"/>
      <c r="X369" s="4"/>
    </row>
    <row r="370" spans="10:24" ht="12.75" x14ac:dyDescent="0.2">
      <c r="J370" s="4"/>
      <c r="K370" s="79"/>
      <c r="L370" s="4"/>
      <c r="M370" s="17"/>
      <c r="N370" s="4"/>
      <c r="O370" s="4"/>
      <c r="U370" s="4"/>
      <c r="V370" s="4"/>
      <c r="W370" s="4"/>
      <c r="X370" s="4"/>
    </row>
    <row r="371" spans="10:24" ht="12.75" x14ac:dyDescent="0.2">
      <c r="J371" s="4"/>
      <c r="K371" s="79"/>
      <c r="L371" s="4"/>
      <c r="M371" s="17"/>
      <c r="N371" s="4"/>
      <c r="O371" s="4"/>
      <c r="U371" s="4"/>
      <c r="V371" s="4"/>
      <c r="W371" s="4"/>
      <c r="X371" s="4"/>
    </row>
    <row r="372" spans="10:24" ht="12.75" x14ac:dyDescent="0.2">
      <c r="J372" s="4"/>
      <c r="K372" s="79"/>
      <c r="L372" s="4"/>
      <c r="M372" s="17"/>
      <c r="N372" s="4"/>
      <c r="O372" s="4"/>
      <c r="U372" s="4"/>
      <c r="V372" s="4"/>
      <c r="W372" s="4"/>
      <c r="X372" s="4"/>
    </row>
    <row r="373" spans="10:24" ht="12.75" x14ac:dyDescent="0.2">
      <c r="J373" s="4"/>
      <c r="K373" s="79"/>
      <c r="L373" s="4"/>
      <c r="M373" s="17"/>
      <c r="N373" s="4"/>
      <c r="O373" s="4"/>
      <c r="U373" s="4"/>
      <c r="V373" s="4"/>
      <c r="W373" s="4"/>
      <c r="X373" s="4"/>
    </row>
    <row r="374" spans="10:24" ht="12.75" x14ac:dyDescent="0.2">
      <c r="J374" s="4"/>
      <c r="K374" s="79"/>
      <c r="L374" s="4"/>
      <c r="M374" s="17"/>
      <c r="N374" s="4"/>
      <c r="O374" s="4"/>
      <c r="U374" s="4"/>
      <c r="V374" s="4"/>
      <c r="W374" s="4"/>
      <c r="X374" s="4"/>
    </row>
    <row r="375" spans="10:24" ht="12.75" x14ac:dyDescent="0.2">
      <c r="J375" s="4"/>
      <c r="K375" s="79"/>
      <c r="L375" s="4"/>
      <c r="M375" s="17"/>
      <c r="N375" s="4"/>
      <c r="O375" s="4"/>
      <c r="U375" s="4"/>
      <c r="V375" s="4"/>
      <c r="W375" s="4"/>
      <c r="X375" s="4"/>
    </row>
    <row r="376" spans="10:24" ht="12.75" x14ac:dyDescent="0.2">
      <c r="J376" s="4"/>
      <c r="K376" s="79"/>
      <c r="L376" s="4"/>
      <c r="M376" s="17"/>
      <c r="N376" s="4"/>
      <c r="O376" s="4"/>
      <c r="U376" s="4"/>
      <c r="V376" s="4"/>
      <c r="W376" s="4"/>
      <c r="X376" s="4"/>
    </row>
    <row r="377" spans="10:24" ht="12.75" x14ac:dyDescent="0.2">
      <c r="J377" s="4"/>
      <c r="K377" s="79"/>
      <c r="L377" s="4"/>
      <c r="M377" s="17"/>
      <c r="N377" s="4"/>
      <c r="O377" s="4"/>
      <c r="U377" s="4"/>
      <c r="V377" s="4"/>
      <c r="W377" s="4"/>
      <c r="X377" s="4"/>
    </row>
    <row r="378" spans="10:24" ht="12.75" x14ac:dyDescent="0.2">
      <c r="J378" s="4"/>
      <c r="K378" s="79"/>
      <c r="L378" s="4"/>
      <c r="M378" s="17"/>
      <c r="N378" s="4"/>
      <c r="O378" s="4"/>
      <c r="U378" s="4"/>
      <c r="V378" s="4"/>
      <c r="W378" s="4"/>
      <c r="X378" s="4"/>
    </row>
    <row r="379" spans="10:24" ht="12.75" x14ac:dyDescent="0.2">
      <c r="J379" s="4"/>
      <c r="K379" s="79"/>
      <c r="L379" s="4"/>
      <c r="M379" s="17"/>
      <c r="N379" s="4"/>
      <c r="O379" s="4"/>
      <c r="U379" s="4"/>
      <c r="V379" s="4"/>
      <c r="W379" s="4"/>
      <c r="X379" s="4"/>
    </row>
    <row r="380" spans="10:24" ht="12.75" x14ac:dyDescent="0.2">
      <c r="J380" s="4"/>
      <c r="K380" s="79"/>
      <c r="L380" s="4"/>
      <c r="M380" s="17"/>
      <c r="N380" s="4"/>
      <c r="O380" s="4"/>
      <c r="U380" s="4"/>
      <c r="V380" s="4"/>
      <c r="W380" s="4"/>
      <c r="X380" s="4"/>
    </row>
    <row r="381" spans="10:24" ht="12.75" x14ac:dyDescent="0.2">
      <c r="J381" s="4"/>
      <c r="K381" s="79"/>
      <c r="L381" s="4"/>
      <c r="M381" s="17"/>
      <c r="N381" s="4"/>
      <c r="O381" s="4"/>
      <c r="U381" s="4"/>
      <c r="V381" s="4"/>
      <c r="W381" s="4"/>
      <c r="X381" s="4"/>
    </row>
    <row r="382" spans="10:24" ht="12.75" x14ac:dyDescent="0.2">
      <c r="J382" s="4"/>
      <c r="K382" s="79"/>
      <c r="L382" s="4"/>
      <c r="M382" s="17"/>
      <c r="N382" s="4"/>
      <c r="O382" s="4"/>
      <c r="U382" s="4"/>
      <c r="V382" s="4"/>
      <c r="W382" s="4"/>
      <c r="X382" s="4"/>
    </row>
    <row r="383" spans="10:24" ht="12.75" x14ac:dyDescent="0.2">
      <c r="J383" s="4"/>
      <c r="K383" s="79"/>
      <c r="L383" s="4"/>
      <c r="M383" s="17"/>
      <c r="N383" s="4"/>
      <c r="O383" s="4"/>
      <c r="U383" s="4"/>
      <c r="V383" s="4"/>
      <c r="W383" s="4"/>
      <c r="X383" s="4"/>
    </row>
    <row r="384" spans="10:24" ht="12.75" x14ac:dyDescent="0.2">
      <c r="J384" s="4"/>
      <c r="K384" s="79"/>
      <c r="L384" s="4"/>
      <c r="M384" s="17"/>
      <c r="N384" s="4"/>
      <c r="O384" s="4"/>
      <c r="U384" s="4"/>
      <c r="V384" s="4"/>
      <c r="W384" s="4"/>
      <c r="X384" s="4"/>
    </row>
    <row r="385" spans="10:24" ht="12.75" x14ac:dyDescent="0.2">
      <c r="J385" s="4"/>
      <c r="K385" s="79"/>
      <c r="L385" s="4"/>
      <c r="M385" s="17"/>
      <c r="N385" s="4"/>
      <c r="O385" s="4"/>
      <c r="U385" s="4"/>
      <c r="V385" s="4"/>
      <c r="W385" s="4"/>
      <c r="X385" s="4"/>
    </row>
    <row r="386" spans="10:24" ht="12.75" x14ac:dyDescent="0.2">
      <c r="J386" s="4"/>
      <c r="K386" s="79"/>
      <c r="L386" s="4"/>
      <c r="M386" s="17"/>
      <c r="N386" s="4"/>
      <c r="O386" s="4"/>
      <c r="U386" s="4"/>
      <c r="V386" s="4"/>
      <c r="W386" s="4"/>
      <c r="X386" s="4"/>
    </row>
    <row r="387" spans="10:24" ht="12.75" x14ac:dyDescent="0.2">
      <c r="J387" s="4"/>
      <c r="K387" s="79"/>
      <c r="L387" s="4"/>
      <c r="M387" s="17"/>
      <c r="N387" s="4"/>
      <c r="O387" s="4"/>
      <c r="U387" s="4"/>
      <c r="V387" s="4"/>
      <c r="W387" s="4"/>
      <c r="X387" s="4"/>
    </row>
    <row r="388" spans="10:24" ht="12.75" x14ac:dyDescent="0.2">
      <c r="J388" s="4"/>
      <c r="K388" s="79"/>
      <c r="L388" s="4"/>
      <c r="M388" s="17"/>
      <c r="N388" s="4"/>
      <c r="O388" s="4"/>
      <c r="U388" s="4"/>
      <c r="V388" s="4"/>
      <c r="W388" s="4"/>
      <c r="X388" s="4"/>
    </row>
    <row r="389" spans="10:24" ht="12.75" x14ac:dyDescent="0.2">
      <c r="J389" s="4"/>
      <c r="K389" s="79"/>
      <c r="L389" s="4"/>
      <c r="M389" s="17"/>
      <c r="N389" s="4"/>
      <c r="O389" s="4"/>
      <c r="U389" s="4"/>
      <c r="V389" s="4"/>
      <c r="W389" s="4"/>
      <c r="X389" s="4"/>
    </row>
    <row r="390" spans="10:24" ht="12.75" x14ac:dyDescent="0.2">
      <c r="J390" s="4"/>
      <c r="K390" s="79"/>
      <c r="L390" s="4"/>
      <c r="M390" s="17"/>
      <c r="N390" s="4"/>
      <c r="O390" s="4"/>
      <c r="U390" s="4"/>
      <c r="V390" s="4"/>
      <c r="W390" s="4"/>
      <c r="X390" s="4"/>
    </row>
    <row r="391" spans="10:24" ht="12.75" x14ac:dyDescent="0.2">
      <c r="J391" s="4"/>
      <c r="K391" s="79"/>
      <c r="L391" s="4"/>
      <c r="M391" s="17"/>
      <c r="N391" s="4"/>
      <c r="O391" s="4"/>
      <c r="U391" s="4"/>
      <c r="V391" s="4"/>
      <c r="W391" s="4"/>
      <c r="X391" s="4"/>
    </row>
    <row r="392" spans="10:24" ht="12.75" x14ac:dyDescent="0.2">
      <c r="J392" s="4"/>
      <c r="K392" s="79"/>
      <c r="L392" s="4"/>
      <c r="M392" s="17"/>
      <c r="N392" s="4"/>
      <c r="O392" s="4"/>
      <c r="U392" s="4"/>
      <c r="V392" s="4"/>
      <c r="W392" s="4"/>
      <c r="X392" s="4"/>
    </row>
    <row r="393" spans="10:24" ht="12.75" x14ac:dyDescent="0.2">
      <c r="J393" s="4"/>
      <c r="K393" s="79"/>
      <c r="L393" s="4"/>
      <c r="M393" s="17"/>
      <c r="N393" s="4"/>
      <c r="O393" s="4"/>
      <c r="U393" s="4"/>
      <c r="V393" s="4"/>
      <c r="W393" s="4"/>
      <c r="X393" s="4"/>
    </row>
    <row r="394" spans="10:24" ht="12.75" x14ac:dyDescent="0.2">
      <c r="J394" s="4"/>
      <c r="K394" s="79"/>
      <c r="L394" s="4"/>
      <c r="M394" s="17"/>
      <c r="N394" s="4"/>
      <c r="O394" s="4"/>
      <c r="U394" s="4"/>
      <c r="V394" s="4"/>
      <c r="W394" s="4"/>
      <c r="X394" s="4"/>
    </row>
    <row r="395" spans="10:24" ht="12.75" x14ac:dyDescent="0.2">
      <c r="J395" s="4"/>
      <c r="K395" s="79"/>
      <c r="L395" s="4"/>
      <c r="M395" s="17"/>
      <c r="N395" s="4"/>
      <c r="O395" s="4"/>
      <c r="U395" s="4"/>
      <c r="V395" s="4"/>
      <c r="W395" s="4"/>
      <c r="X395" s="4"/>
    </row>
    <row r="396" spans="10:24" ht="12.75" x14ac:dyDescent="0.2">
      <c r="J396" s="4"/>
      <c r="K396" s="79"/>
      <c r="L396" s="4"/>
      <c r="M396" s="17"/>
      <c r="N396" s="4"/>
      <c r="O396" s="4"/>
      <c r="U396" s="4"/>
      <c r="V396" s="4"/>
      <c r="W396" s="4"/>
      <c r="X396" s="4"/>
    </row>
    <row r="397" spans="10:24" ht="12.75" x14ac:dyDescent="0.2">
      <c r="J397" s="4"/>
      <c r="K397" s="79"/>
      <c r="L397" s="4"/>
      <c r="M397" s="17"/>
      <c r="N397" s="4"/>
      <c r="O397" s="4"/>
      <c r="U397" s="4"/>
      <c r="V397" s="4"/>
      <c r="W397" s="4"/>
      <c r="X397" s="4"/>
    </row>
    <row r="398" spans="10:24" ht="12.75" x14ac:dyDescent="0.2">
      <c r="J398" s="4"/>
      <c r="K398" s="79"/>
      <c r="L398" s="4"/>
      <c r="M398" s="17"/>
      <c r="N398" s="4"/>
      <c r="O398" s="4"/>
      <c r="U398" s="4"/>
      <c r="V398" s="4"/>
      <c r="W398" s="4"/>
      <c r="X398" s="4"/>
    </row>
    <row r="399" spans="10:24" ht="12.75" x14ac:dyDescent="0.2">
      <c r="J399" s="4"/>
      <c r="K399" s="79"/>
      <c r="L399" s="4"/>
      <c r="M399" s="17"/>
      <c r="N399" s="4"/>
      <c r="O399" s="4"/>
      <c r="U399" s="4"/>
      <c r="V399" s="4"/>
      <c r="W399" s="4"/>
      <c r="X399" s="4"/>
    </row>
    <row r="400" spans="10:24" ht="12.75" x14ac:dyDescent="0.2">
      <c r="J400" s="4"/>
      <c r="K400" s="79"/>
      <c r="L400" s="4"/>
      <c r="M400" s="17"/>
      <c r="N400" s="4"/>
      <c r="O400" s="4"/>
      <c r="U400" s="4"/>
      <c r="V400" s="4"/>
      <c r="W400" s="4"/>
      <c r="X400" s="4"/>
    </row>
    <row r="401" spans="10:24" ht="12.75" x14ac:dyDescent="0.2">
      <c r="J401" s="4"/>
      <c r="K401" s="79"/>
      <c r="L401" s="4"/>
      <c r="M401" s="17"/>
      <c r="N401" s="4"/>
      <c r="O401" s="4"/>
      <c r="U401" s="4"/>
      <c r="V401" s="4"/>
      <c r="W401" s="4"/>
      <c r="X401" s="4"/>
    </row>
    <row r="402" spans="10:24" ht="12.75" x14ac:dyDescent="0.2">
      <c r="J402" s="4"/>
      <c r="K402" s="79"/>
      <c r="L402" s="4"/>
      <c r="M402" s="17"/>
      <c r="N402" s="4"/>
      <c r="O402" s="4"/>
      <c r="U402" s="4"/>
      <c r="V402" s="4"/>
      <c r="W402" s="4"/>
      <c r="X402" s="4"/>
    </row>
    <row r="403" spans="10:24" ht="12.75" x14ac:dyDescent="0.2">
      <c r="J403" s="4"/>
      <c r="K403" s="79"/>
      <c r="L403" s="4"/>
      <c r="M403" s="17"/>
      <c r="N403" s="4"/>
      <c r="O403" s="4"/>
      <c r="U403" s="4"/>
      <c r="V403" s="4"/>
      <c r="W403" s="4"/>
      <c r="X403" s="4"/>
    </row>
    <row r="404" spans="10:24" ht="12.75" x14ac:dyDescent="0.2">
      <c r="J404" s="4"/>
      <c r="K404" s="79"/>
      <c r="L404" s="4"/>
      <c r="M404" s="17"/>
      <c r="N404" s="4"/>
      <c r="O404" s="4"/>
      <c r="U404" s="4"/>
      <c r="V404" s="4"/>
      <c r="W404" s="4"/>
      <c r="X404" s="4"/>
    </row>
    <row r="405" spans="10:24" ht="12.75" x14ac:dyDescent="0.2">
      <c r="J405" s="4"/>
      <c r="K405" s="79"/>
      <c r="L405" s="4"/>
      <c r="M405" s="17"/>
      <c r="N405" s="4"/>
      <c r="O405" s="4"/>
      <c r="U405" s="4"/>
      <c r="V405" s="4"/>
      <c r="W405" s="4"/>
      <c r="X405" s="4"/>
    </row>
    <row r="406" spans="10:24" ht="12.75" x14ac:dyDescent="0.2">
      <c r="J406" s="4"/>
      <c r="K406" s="79"/>
      <c r="L406" s="4"/>
      <c r="M406" s="17"/>
      <c r="N406" s="4"/>
      <c r="O406" s="4"/>
      <c r="U406" s="4"/>
      <c r="V406" s="4"/>
      <c r="W406" s="4"/>
      <c r="X406" s="4"/>
    </row>
    <row r="407" spans="10:24" ht="12.75" x14ac:dyDescent="0.2">
      <c r="J407" s="4"/>
      <c r="K407" s="79"/>
      <c r="L407" s="4"/>
      <c r="M407" s="17"/>
      <c r="N407" s="4"/>
      <c r="O407" s="4"/>
      <c r="U407" s="4"/>
      <c r="V407" s="4"/>
      <c r="W407" s="4"/>
      <c r="X407" s="4"/>
    </row>
    <row r="408" spans="10:24" ht="12.75" x14ac:dyDescent="0.2">
      <c r="J408" s="4"/>
      <c r="K408" s="79"/>
      <c r="L408" s="4"/>
      <c r="M408" s="17"/>
      <c r="N408" s="4"/>
      <c r="O408" s="4"/>
      <c r="U408" s="4"/>
      <c r="V408" s="4"/>
      <c r="W408" s="4"/>
      <c r="X408" s="4"/>
    </row>
    <row r="409" spans="10:24" ht="12.75" x14ac:dyDescent="0.2">
      <c r="J409" s="4"/>
      <c r="K409" s="79"/>
      <c r="L409" s="4"/>
      <c r="M409" s="17"/>
      <c r="N409" s="4"/>
      <c r="O409" s="4"/>
      <c r="U409" s="4"/>
      <c r="V409" s="4"/>
      <c r="W409" s="4"/>
      <c r="X409" s="4"/>
    </row>
    <row r="410" spans="10:24" ht="12.75" x14ac:dyDescent="0.2">
      <c r="J410" s="4"/>
      <c r="K410" s="79"/>
      <c r="L410" s="4"/>
      <c r="M410" s="17"/>
      <c r="N410" s="4"/>
      <c r="O410" s="4"/>
      <c r="U410" s="4"/>
      <c r="V410" s="4"/>
      <c r="W410" s="4"/>
      <c r="X410" s="4"/>
    </row>
    <row r="411" spans="10:24" ht="12.75" x14ac:dyDescent="0.2">
      <c r="J411" s="4"/>
      <c r="K411" s="79"/>
      <c r="L411" s="4"/>
      <c r="M411" s="17"/>
      <c r="N411" s="4"/>
      <c r="O411" s="4"/>
      <c r="U411" s="4"/>
      <c r="V411" s="4"/>
      <c r="W411" s="4"/>
      <c r="X411" s="4"/>
    </row>
    <row r="412" spans="10:24" ht="12.75" x14ac:dyDescent="0.2">
      <c r="J412" s="4"/>
      <c r="K412" s="79"/>
      <c r="L412" s="4"/>
      <c r="M412" s="17"/>
      <c r="N412" s="4"/>
      <c r="O412" s="4"/>
      <c r="U412" s="4"/>
      <c r="V412" s="4"/>
      <c r="W412" s="4"/>
      <c r="X412" s="4"/>
    </row>
    <row r="413" spans="10:24" ht="12.75" x14ac:dyDescent="0.2">
      <c r="J413" s="4"/>
      <c r="K413" s="79"/>
      <c r="L413" s="4"/>
      <c r="M413" s="17"/>
      <c r="N413" s="4"/>
      <c r="O413" s="4"/>
      <c r="U413" s="4"/>
      <c r="V413" s="4"/>
      <c r="W413" s="4"/>
      <c r="X413" s="4"/>
    </row>
    <row r="414" spans="10:24" ht="12.75" x14ac:dyDescent="0.2">
      <c r="J414" s="4"/>
      <c r="K414" s="79"/>
      <c r="L414" s="4"/>
      <c r="M414" s="17"/>
      <c r="N414" s="4"/>
      <c r="O414" s="4"/>
      <c r="U414" s="4"/>
      <c r="V414" s="4"/>
      <c r="W414" s="4"/>
      <c r="X414" s="4"/>
    </row>
    <row r="415" spans="10:24" ht="12.75" x14ac:dyDescent="0.2">
      <c r="J415" s="4"/>
      <c r="K415" s="79"/>
      <c r="L415" s="4"/>
      <c r="M415" s="17"/>
      <c r="N415" s="4"/>
      <c r="O415" s="4"/>
      <c r="U415" s="4"/>
      <c r="V415" s="4"/>
      <c r="W415" s="4"/>
      <c r="X415" s="4"/>
    </row>
    <row r="416" spans="10:24" ht="12.75" x14ac:dyDescent="0.2">
      <c r="J416" s="4"/>
      <c r="K416" s="79"/>
      <c r="L416" s="4"/>
      <c r="M416" s="17"/>
      <c r="N416" s="4"/>
      <c r="O416" s="4"/>
      <c r="U416" s="4"/>
      <c r="V416" s="4"/>
      <c r="W416" s="4"/>
      <c r="X416" s="4"/>
    </row>
    <row r="417" spans="10:24" ht="12.75" x14ac:dyDescent="0.2">
      <c r="J417" s="4"/>
      <c r="K417" s="79"/>
      <c r="L417" s="4"/>
      <c r="M417" s="17"/>
      <c r="N417" s="4"/>
      <c r="O417" s="4"/>
      <c r="U417" s="4"/>
      <c r="V417" s="4"/>
      <c r="W417" s="4"/>
      <c r="X417" s="4"/>
    </row>
    <row r="418" spans="10:24" ht="12.75" x14ac:dyDescent="0.2">
      <c r="J418" s="4"/>
      <c r="K418" s="79"/>
      <c r="L418" s="4"/>
      <c r="M418" s="17"/>
      <c r="N418" s="4"/>
      <c r="O418" s="4"/>
      <c r="U418" s="4"/>
      <c r="V418" s="4"/>
      <c r="W418" s="4"/>
      <c r="X418" s="4"/>
    </row>
    <row r="419" spans="10:24" ht="12.75" x14ac:dyDescent="0.2">
      <c r="J419" s="4"/>
      <c r="K419" s="79"/>
      <c r="L419" s="4"/>
      <c r="M419" s="17"/>
      <c r="N419" s="4"/>
      <c r="O419" s="4"/>
      <c r="U419" s="4"/>
      <c r="V419" s="4"/>
      <c r="W419" s="4"/>
      <c r="X419" s="4"/>
    </row>
    <row r="420" spans="10:24" ht="12.75" x14ac:dyDescent="0.2">
      <c r="J420" s="4"/>
      <c r="K420" s="79"/>
      <c r="L420" s="4"/>
      <c r="M420" s="17"/>
      <c r="N420" s="4"/>
      <c r="O420" s="4"/>
      <c r="U420" s="4"/>
      <c r="V420" s="4"/>
      <c r="W420" s="4"/>
      <c r="X420" s="4"/>
    </row>
    <row r="421" spans="10:24" ht="12.75" x14ac:dyDescent="0.2">
      <c r="J421" s="4"/>
      <c r="K421" s="79"/>
      <c r="L421" s="4"/>
      <c r="M421" s="17"/>
      <c r="N421" s="4"/>
      <c r="O421" s="4"/>
      <c r="U421" s="4"/>
      <c r="V421" s="4"/>
      <c r="W421" s="4"/>
      <c r="X421" s="4"/>
    </row>
    <row r="422" spans="10:24" ht="12.75" x14ac:dyDescent="0.2">
      <c r="J422" s="4"/>
      <c r="K422" s="79"/>
      <c r="L422" s="4"/>
      <c r="M422" s="17"/>
      <c r="N422" s="4"/>
      <c r="O422" s="4"/>
      <c r="U422" s="4"/>
      <c r="V422" s="4"/>
      <c r="W422" s="4"/>
      <c r="X422" s="4"/>
    </row>
    <row r="423" spans="10:24" ht="12.75" x14ac:dyDescent="0.2">
      <c r="J423" s="4"/>
      <c r="K423" s="79"/>
      <c r="L423" s="4"/>
      <c r="M423" s="17"/>
      <c r="N423" s="4"/>
      <c r="O423" s="4"/>
      <c r="U423" s="4"/>
      <c r="V423" s="4"/>
      <c r="W423" s="4"/>
      <c r="X423" s="4"/>
    </row>
    <row r="424" spans="10:24" ht="12.75" x14ac:dyDescent="0.2">
      <c r="J424" s="4"/>
      <c r="K424" s="79"/>
      <c r="L424" s="4"/>
      <c r="M424" s="17"/>
      <c r="N424" s="4"/>
      <c r="O424" s="4"/>
      <c r="U424" s="4"/>
      <c r="V424" s="4"/>
      <c r="W424" s="4"/>
      <c r="X424" s="4"/>
    </row>
    <row r="425" spans="10:24" ht="12.75" x14ac:dyDescent="0.2">
      <c r="J425" s="4"/>
      <c r="K425" s="79"/>
      <c r="L425" s="4"/>
      <c r="M425" s="17"/>
      <c r="N425" s="4"/>
      <c r="O425" s="4"/>
      <c r="U425" s="4"/>
      <c r="V425" s="4"/>
      <c r="W425" s="4"/>
      <c r="X425" s="4"/>
    </row>
    <row r="426" spans="10:24" ht="12.75" x14ac:dyDescent="0.2">
      <c r="J426" s="4"/>
      <c r="K426" s="79"/>
      <c r="L426" s="4"/>
      <c r="M426" s="17"/>
      <c r="N426" s="4"/>
      <c r="O426" s="4"/>
      <c r="U426" s="4"/>
      <c r="V426" s="4"/>
      <c r="W426" s="4"/>
      <c r="X426" s="4"/>
    </row>
    <row r="427" spans="10:24" ht="12.75" x14ac:dyDescent="0.2">
      <c r="J427" s="4"/>
      <c r="K427" s="79"/>
      <c r="L427" s="4"/>
      <c r="M427" s="17"/>
      <c r="N427" s="4"/>
      <c r="O427" s="4"/>
      <c r="U427" s="4"/>
      <c r="V427" s="4"/>
      <c r="W427" s="4"/>
      <c r="X427" s="4"/>
    </row>
    <row r="428" spans="10:24" ht="12.75" x14ac:dyDescent="0.2">
      <c r="J428" s="4"/>
      <c r="K428" s="79"/>
      <c r="L428" s="4"/>
      <c r="M428" s="17"/>
      <c r="N428" s="4"/>
      <c r="O428" s="4"/>
      <c r="U428" s="4"/>
      <c r="V428" s="4"/>
      <c r="W428" s="4"/>
      <c r="X428" s="4"/>
    </row>
    <row r="429" spans="10:24" ht="12.75" x14ac:dyDescent="0.2">
      <c r="J429" s="4"/>
      <c r="K429" s="79"/>
      <c r="L429" s="4"/>
      <c r="M429" s="17"/>
      <c r="N429" s="4"/>
      <c r="O429" s="4"/>
      <c r="U429" s="4"/>
      <c r="V429" s="4"/>
      <c r="W429" s="4"/>
      <c r="X429" s="4"/>
    </row>
    <row r="430" spans="10:24" ht="12.75" x14ac:dyDescent="0.2">
      <c r="J430" s="4"/>
      <c r="K430" s="79"/>
      <c r="L430" s="4"/>
      <c r="M430" s="17"/>
      <c r="N430" s="4"/>
      <c r="O430" s="4"/>
      <c r="U430" s="4"/>
      <c r="V430" s="4"/>
      <c r="W430" s="4"/>
      <c r="X430" s="4"/>
    </row>
    <row r="431" spans="10:24" ht="12.75" x14ac:dyDescent="0.2">
      <c r="J431" s="4"/>
      <c r="K431" s="79"/>
      <c r="L431" s="4"/>
      <c r="M431" s="17"/>
      <c r="N431" s="4"/>
      <c r="O431" s="4"/>
      <c r="U431" s="4"/>
      <c r="V431" s="4"/>
      <c r="W431" s="4"/>
      <c r="X431" s="4"/>
    </row>
    <row r="432" spans="10:24" ht="12.75" x14ac:dyDescent="0.2">
      <c r="J432" s="4"/>
      <c r="K432" s="79"/>
      <c r="L432" s="4"/>
      <c r="M432" s="17"/>
      <c r="N432" s="4"/>
      <c r="O432" s="4"/>
      <c r="U432" s="4"/>
      <c r="V432" s="4"/>
      <c r="W432" s="4"/>
      <c r="X432" s="4"/>
    </row>
    <row r="433" spans="10:24" ht="12.75" x14ac:dyDescent="0.2">
      <c r="J433" s="4"/>
      <c r="K433" s="79"/>
      <c r="L433" s="4"/>
      <c r="M433" s="17"/>
      <c r="N433" s="4"/>
      <c r="O433" s="4"/>
      <c r="U433" s="4"/>
      <c r="V433" s="4"/>
      <c r="W433" s="4"/>
      <c r="X433" s="4"/>
    </row>
    <row r="434" spans="10:24" ht="12.75" x14ac:dyDescent="0.2">
      <c r="J434" s="4"/>
      <c r="K434" s="79"/>
      <c r="L434" s="4"/>
      <c r="M434" s="17"/>
      <c r="N434" s="4"/>
      <c r="O434" s="4"/>
      <c r="U434" s="4"/>
      <c r="V434" s="4"/>
      <c r="W434" s="4"/>
      <c r="X434" s="4"/>
    </row>
    <row r="435" spans="10:24" ht="12.75" x14ac:dyDescent="0.2">
      <c r="J435" s="4"/>
      <c r="K435" s="79"/>
      <c r="L435" s="4"/>
      <c r="M435" s="17"/>
      <c r="N435" s="4"/>
      <c r="O435" s="4"/>
      <c r="U435" s="4"/>
      <c r="V435" s="4"/>
      <c r="W435" s="4"/>
      <c r="X435" s="4"/>
    </row>
    <row r="436" spans="10:24" ht="12.75" x14ac:dyDescent="0.2">
      <c r="J436" s="4"/>
      <c r="K436" s="79"/>
      <c r="L436" s="4"/>
      <c r="M436" s="17"/>
      <c r="N436" s="4"/>
      <c r="O436" s="4"/>
      <c r="U436" s="4"/>
      <c r="V436" s="4"/>
      <c r="W436" s="4"/>
      <c r="X436" s="4"/>
    </row>
    <row r="437" spans="10:24" ht="12.75" x14ac:dyDescent="0.2">
      <c r="J437" s="4"/>
      <c r="K437" s="79"/>
      <c r="L437" s="4"/>
      <c r="M437" s="17"/>
      <c r="N437" s="4"/>
      <c r="O437" s="4"/>
      <c r="U437" s="4"/>
      <c r="V437" s="4"/>
      <c r="W437" s="4"/>
      <c r="X437" s="4"/>
    </row>
    <row r="438" spans="10:24" ht="12.75" x14ac:dyDescent="0.2">
      <c r="J438" s="4"/>
      <c r="K438" s="79"/>
      <c r="L438" s="4"/>
      <c r="M438" s="17"/>
      <c r="N438" s="4"/>
      <c r="O438" s="4"/>
      <c r="U438" s="4"/>
      <c r="V438" s="4"/>
      <c r="W438" s="4"/>
      <c r="X438" s="4"/>
    </row>
    <row r="439" spans="10:24" ht="12.75" x14ac:dyDescent="0.2">
      <c r="J439" s="4"/>
      <c r="K439" s="79"/>
      <c r="L439" s="4"/>
      <c r="M439" s="17"/>
      <c r="N439" s="4"/>
      <c r="O439" s="4"/>
      <c r="U439" s="4"/>
      <c r="V439" s="4"/>
      <c r="W439" s="4"/>
      <c r="X439" s="4"/>
    </row>
    <row r="440" spans="10:24" ht="12.75" x14ac:dyDescent="0.2">
      <c r="J440" s="4"/>
      <c r="K440" s="79"/>
      <c r="L440" s="4"/>
      <c r="M440" s="17"/>
      <c r="N440" s="4"/>
      <c r="O440" s="4"/>
      <c r="U440" s="4"/>
      <c r="V440" s="4"/>
      <c r="W440" s="4"/>
      <c r="X440" s="4"/>
    </row>
    <row r="441" spans="10:24" ht="12.75" x14ac:dyDescent="0.2">
      <c r="J441" s="4"/>
      <c r="K441" s="79"/>
      <c r="L441" s="4"/>
      <c r="M441" s="17"/>
      <c r="N441" s="4"/>
      <c r="O441" s="4"/>
      <c r="U441" s="4"/>
      <c r="V441" s="4"/>
      <c r="W441" s="4"/>
      <c r="X441" s="4"/>
    </row>
    <row r="442" spans="10:24" ht="12.75" x14ac:dyDescent="0.2">
      <c r="J442" s="4"/>
      <c r="K442" s="79"/>
      <c r="L442" s="4"/>
      <c r="M442" s="17"/>
      <c r="N442" s="4"/>
      <c r="O442" s="4"/>
      <c r="U442" s="4"/>
      <c r="V442" s="4"/>
      <c r="W442" s="4"/>
      <c r="X442" s="4"/>
    </row>
    <row r="443" spans="10:24" ht="12.75" x14ac:dyDescent="0.2">
      <c r="J443" s="4"/>
      <c r="K443" s="79"/>
      <c r="L443" s="4"/>
      <c r="M443" s="17"/>
      <c r="N443" s="4"/>
      <c r="O443" s="4"/>
      <c r="U443" s="4"/>
      <c r="V443" s="4"/>
      <c r="W443" s="4"/>
      <c r="X443" s="4"/>
    </row>
    <row r="444" spans="10:24" ht="12.75" x14ac:dyDescent="0.2">
      <c r="J444" s="4"/>
      <c r="K444" s="79"/>
      <c r="L444" s="4"/>
      <c r="M444" s="17"/>
      <c r="N444" s="4"/>
      <c r="O444" s="4"/>
      <c r="U444" s="4"/>
      <c r="V444" s="4"/>
      <c r="W444" s="4"/>
      <c r="X444" s="4"/>
    </row>
    <row r="445" spans="10:24" ht="12.75" x14ac:dyDescent="0.2">
      <c r="J445" s="4"/>
      <c r="K445" s="79"/>
      <c r="L445" s="4"/>
      <c r="M445" s="17"/>
      <c r="N445" s="4"/>
      <c r="O445" s="4"/>
      <c r="U445" s="4"/>
      <c r="V445" s="4"/>
      <c r="W445" s="4"/>
      <c r="X445" s="4"/>
    </row>
    <row r="446" spans="10:24" ht="12.75" x14ac:dyDescent="0.2">
      <c r="J446" s="4"/>
      <c r="K446" s="79"/>
      <c r="L446" s="4"/>
      <c r="M446" s="17"/>
      <c r="N446" s="4"/>
      <c r="O446" s="4"/>
      <c r="U446" s="4"/>
      <c r="V446" s="4"/>
      <c r="W446" s="4"/>
      <c r="X446" s="4"/>
    </row>
    <row r="447" spans="10:24" ht="12.75" x14ac:dyDescent="0.2">
      <c r="J447" s="4"/>
      <c r="K447" s="79"/>
      <c r="L447" s="4"/>
      <c r="M447" s="17"/>
      <c r="N447" s="4"/>
      <c r="O447" s="4"/>
      <c r="U447" s="4"/>
      <c r="V447" s="4"/>
      <c r="W447" s="4"/>
      <c r="X447" s="4"/>
    </row>
    <row r="448" spans="10:24" ht="12.75" x14ac:dyDescent="0.2">
      <c r="J448" s="4"/>
      <c r="K448" s="79"/>
      <c r="L448" s="4"/>
      <c r="M448" s="17"/>
      <c r="N448" s="4"/>
      <c r="O448" s="4"/>
      <c r="U448" s="4"/>
      <c r="V448" s="4"/>
      <c r="W448" s="4"/>
      <c r="X448" s="4"/>
    </row>
    <row r="449" spans="10:24" ht="12.75" x14ac:dyDescent="0.2">
      <c r="J449" s="4"/>
      <c r="K449" s="79"/>
      <c r="L449" s="4"/>
      <c r="M449" s="17"/>
      <c r="N449" s="4"/>
      <c r="O449" s="4"/>
      <c r="U449" s="4"/>
      <c r="V449" s="4"/>
      <c r="W449" s="4"/>
      <c r="X449" s="4"/>
    </row>
    <row r="450" spans="10:24" ht="12.75" x14ac:dyDescent="0.2">
      <c r="J450" s="4"/>
      <c r="K450" s="79"/>
      <c r="L450" s="4"/>
      <c r="M450" s="17"/>
      <c r="N450" s="4"/>
      <c r="O450" s="4"/>
      <c r="U450" s="4"/>
      <c r="V450" s="4"/>
      <c r="W450" s="4"/>
      <c r="X450" s="4"/>
    </row>
    <row r="451" spans="10:24" ht="12.75" x14ac:dyDescent="0.2">
      <c r="J451" s="4"/>
      <c r="K451" s="79"/>
      <c r="L451" s="4"/>
      <c r="M451" s="17"/>
      <c r="N451" s="4"/>
      <c r="O451" s="4"/>
      <c r="U451" s="4"/>
      <c r="V451" s="4"/>
      <c r="W451" s="4"/>
      <c r="X451" s="4"/>
    </row>
    <row r="452" spans="10:24" ht="12.75" x14ac:dyDescent="0.2">
      <c r="J452" s="4"/>
      <c r="K452" s="79"/>
      <c r="L452" s="4"/>
      <c r="M452" s="17"/>
      <c r="N452" s="4"/>
      <c r="O452" s="4"/>
      <c r="U452" s="4"/>
      <c r="V452" s="4"/>
      <c r="W452" s="4"/>
      <c r="X452" s="4"/>
    </row>
    <row r="453" spans="10:24" ht="12.75" x14ac:dyDescent="0.2">
      <c r="J453" s="4"/>
      <c r="K453" s="79"/>
      <c r="L453" s="4"/>
      <c r="M453" s="17"/>
      <c r="N453" s="4"/>
      <c r="O453" s="4"/>
      <c r="U453" s="4"/>
      <c r="V453" s="4"/>
      <c r="W453" s="4"/>
      <c r="X453" s="4"/>
    </row>
    <row r="454" spans="10:24" ht="12.75" x14ac:dyDescent="0.2">
      <c r="J454" s="4"/>
      <c r="K454" s="79"/>
      <c r="L454" s="4"/>
      <c r="M454" s="17"/>
      <c r="N454" s="4"/>
      <c r="O454" s="4"/>
      <c r="U454" s="4"/>
      <c r="V454" s="4"/>
      <c r="W454" s="4"/>
      <c r="X454" s="4"/>
    </row>
    <row r="455" spans="10:24" ht="12.75" x14ac:dyDescent="0.2">
      <c r="J455" s="4"/>
      <c r="K455" s="79"/>
      <c r="L455" s="4"/>
      <c r="M455" s="17"/>
      <c r="N455" s="4"/>
      <c r="O455" s="4"/>
      <c r="U455" s="4"/>
      <c r="V455" s="4"/>
      <c r="W455" s="4"/>
      <c r="X455" s="4"/>
    </row>
    <row r="456" spans="10:24" ht="12.75" x14ac:dyDescent="0.2">
      <c r="J456" s="4"/>
      <c r="K456" s="79"/>
      <c r="L456" s="4"/>
      <c r="M456" s="17"/>
      <c r="N456" s="4"/>
      <c r="O456" s="4"/>
      <c r="U456" s="4"/>
      <c r="V456" s="4"/>
      <c r="W456" s="4"/>
      <c r="X456" s="4"/>
    </row>
    <row r="457" spans="10:24" ht="12.75" x14ac:dyDescent="0.2">
      <c r="J457" s="4"/>
      <c r="K457" s="79"/>
      <c r="L457" s="4"/>
      <c r="M457" s="17"/>
      <c r="N457" s="4"/>
      <c r="O457" s="4"/>
      <c r="U457" s="4"/>
      <c r="V457" s="4"/>
      <c r="W457" s="4"/>
      <c r="X457" s="4"/>
    </row>
    <row r="458" spans="10:24" ht="12.75" x14ac:dyDescent="0.2">
      <c r="J458" s="4"/>
      <c r="K458" s="79"/>
      <c r="L458" s="4"/>
      <c r="M458" s="17"/>
      <c r="N458" s="4"/>
      <c r="O458" s="4"/>
      <c r="U458" s="4"/>
      <c r="V458" s="4"/>
      <c r="W458" s="4"/>
      <c r="X458" s="4"/>
    </row>
    <row r="459" spans="10:24" ht="12.75" x14ac:dyDescent="0.2">
      <c r="J459" s="4"/>
      <c r="K459" s="79"/>
      <c r="L459" s="4"/>
      <c r="M459" s="17"/>
      <c r="N459" s="4"/>
      <c r="O459" s="4"/>
      <c r="U459" s="4"/>
      <c r="V459" s="4"/>
      <c r="W459" s="4"/>
      <c r="X459" s="4"/>
    </row>
    <row r="460" spans="10:24" ht="12.75" x14ac:dyDescent="0.2">
      <c r="J460" s="4"/>
      <c r="K460" s="79"/>
      <c r="L460" s="4"/>
      <c r="M460" s="17"/>
      <c r="N460" s="4"/>
      <c r="O460" s="4"/>
      <c r="U460" s="4"/>
      <c r="V460" s="4"/>
      <c r="W460" s="4"/>
      <c r="X460" s="4"/>
    </row>
    <row r="461" spans="10:24" ht="12.75" x14ac:dyDescent="0.2">
      <c r="J461" s="4"/>
      <c r="K461" s="79"/>
      <c r="L461" s="4"/>
      <c r="M461" s="17"/>
      <c r="N461" s="4"/>
      <c r="O461" s="4"/>
      <c r="U461" s="4"/>
      <c r="V461" s="4"/>
      <c r="W461" s="4"/>
      <c r="X461" s="4"/>
    </row>
    <row r="462" spans="10:24" ht="12.75" x14ac:dyDescent="0.2">
      <c r="J462" s="4"/>
      <c r="K462" s="79"/>
      <c r="L462" s="4"/>
      <c r="M462" s="17"/>
      <c r="N462" s="4"/>
      <c r="O462" s="4"/>
      <c r="U462" s="4"/>
      <c r="V462" s="4"/>
      <c r="W462" s="4"/>
      <c r="X462" s="4"/>
    </row>
    <row r="463" spans="10:24" ht="12.75" x14ac:dyDescent="0.2">
      <c r="J463" s="4"/>
      <c r="K463" s="79"/>
      <c r="L463" s="4"/>
      <c r="M463" s="17"/>
      <c r="N463" s="4"/>
      <c r="O463" s="4"/>
      <c r="U463" s="4"/>
      <c r="V463" s="4"/>
      <c r="W463" s="4"/>
      <c r="X463" s="4"/>
    </row>
    <row r="464" spans="10:24" ht="12.75" x14ac:dyDescent="0.2">
      <c r="J464" s="4"/>
      <c r="K464" s="79"/>
      <c r="L464" s="4"/>
      <c r="M464" s="17"/>
      <c r="N464" s="4"/>
      <c r="O464" s="4"/>
      <c r="U464" s="4"/>
      <c r="V464" s="4"/>
      <c r="W464" s="4"/>
      <c r="X464" s="4"/>
    </row>
    <row r="465" spans="10:24" ht="12.75" x14ac:dyDescent="0.2">
      <c r="J465" s="4"/>
      <c r="K465" s="79"/>
      <c r="L465" s="4"/>
      <c r="M465" s="17"/>
      <c r="N465" s="4"/>
      <c r="O465" s="4"/>
      <c r="U465" s="4"/>
      <c r="V465" s="4"/>
      <c r="W465" s="4"/>
      <c r="X465" s="4"/>
    </row>
    <row r="466" spans="10:24" ht="12.75" x14ac:dyDescent="0.2">
      <c r="J466" s="4"/>
      <c r="K466" s="79"/>
      <c r="L466" s="4"/>
      <c r="M466" s="17"/>
      <c r="N466" s="4"/>
      <c r="O466" s="4"/>
      <c r="U466" s="4"/>
      <c r="V466" s="4"/>
      <c r="W466" s="4"/>
      <c r="X466" s="4"/>
    </row>
    <row r="467" spans="10:24" ht="12.75" x14ac:dyDescent="0.2">
      <c r="J467" s="4"/>
      <c r="K467" s="79"/>
      <c r="L467" s="4"/>
      <c r="M467" s="17"/>
      <c r="N467" s="4"/>
      <c r="O467" s="4"/>
      <c r="U467" s="4"/>
      <c r="V467" s="4"/>
      <c r="W467" s="4"/>
      <c r="X467" s="4"/>
    </row>
    <row r="468" spans="10:24" ht="12.75" x14ac:dyDescent="0.2">
      <c r="J468" s="4"/>
      <c r="K468" s="79"/>
      <c r="L468" s="4"/>
      <c r="M468" s="17"/>
      <c r="N468" s="4"/>
      <c r="O468" s="4"/>
      <c r="U468" s="4"/>
      <c r="V468" s="4"/>
      <c r="W468" s="4"/>
      <c r="X468" s="4"/>
    </row>
    <row r="469" spans="10:24" ht="12.75" x14ac:dyDescent="0.2">
      <c r="J469" s="4"/>
      <c r="K469" s="79"/>
      <c r="L469" s="4"/>
      <c r="M469" s="17"/>
      <c r="N469" s="4"/>
      <c r="O469" s="4"/>
      <c r="U469" s="4"/>
      <c r="V469" s="4"/>
      <c r="W469" s="4"/>
      <c r="X469" s="4"/>
    </row>
    <row r="470" spans="10:24" ht="12.75" x14ac:dyDescent="0.2">
      <c r="J470" s="4"/>
      <c r="K470" s="79"/>
      <c r="L470" s="4"/>
      <c r="M470" s="17"/>
      <c r="N470" s="4"/>
      <c r="O470" s="4"/>
      <c r="U470" s="4"/>
      <c r="V470" s="4"/>
      <c r="W470" s="4"/>
      <c r="X470" s="4"/>
    </row>
    <row r="471" spans="10:24" ht="12.75" x14ac:dyDescent="0.2">
      <c r="J471" s="4"/>
      <c r="K471" s="79"/>
      <c r="L471" s="4"/>
      <c r="M471" s="17"/>
      <c r="N471" s="4"/>
      <c r="O471" s="4"/>
      <c r="U471" s="4"/>
      <c r="V471" s="4"/>
      <c r="W471" s="4"/>
      <c r="X471" s="4"/>
    </row>
    <row r="472" spans="10:24" ht="12.75" x14ac:dyDescent="0.2">
      <c r="J472" s="4"/>
      <c r="K472" s="79"/>
      <c r="L472" s="4"/>
      <c r="M472" s="17"/>
      <c r="N472" s="4"/>
      <c r="O472" s="4"/>
      <c r="U472" s="4"/>
      <c r="V472" s="4"/>
      <c r="W472" s="4"/>
      <c r="X472" s="4"/>
    </row>
    <row r="473" spans="10:24" ht="12.75" x14ac:dyDescent="0.2">
      <c r="J473" s="4"/>
      <c r="K473" s="79"/>
      <c r="L473" s="4"/>
      <c r="M473" s="17"/>
      <c r="N473" s="4"/>
      <c r="O473" s="4"/>
      <c r="U473" s="4"/>
      <c r="V473" s="4"/>
      <c r="W473" s="4"/>
      <c r="X473" s="4"/>
    </row>
    <row r="474" spans="10:24" ht="12.75" x14ac:dyDescent="0.2">
      <c r="J474" s="4"/>
      <c r="K474" s="79"/>
      <c r="L474" s="4"/>
      <c r="M474" s="17"/>
      <c r="N474" s="4"/>
      <c r="O474" s="4"/>
      <c r="U474" s="4"/>
      <c r="V474" s="4"/>
      <c r="W474" s="4"/>
      <c r="X474" s="4"/>
    </row>
    <row r="475" spans="10:24" ht="12.75" x14ac:dyDescent="0.2">
      <c r="J475" s="4"/>
      <c r="K475" s="79"/>
      <c r="L475" s="4"/>
      <c r="M475" s="17"/>
      <c r="N475" s="4"/>
      <c r="O475" s="4"/>
      <c r="U475" s="4"/>
      <c r="V475" s="4"/>
      <c r="W475" s="4"/>
      <c r="X475" s="4"/>
    </row>
    <row r="476" spans="10:24" ht="12.75" x14ac:dyDescent="0.2">
      <c r="J476" s="4"/>
      <c r="K476" s="79"/>
      <c r="L476" s="4"/>
      <c r="M476" s="17"/>
      <c r="N476" s="4"/>
      <c r="O476" s="4"/>
      <c r="U476" s="4"/>
      <c r="V476" s="4"/>
      <c r="W476" s="4"/>
      <c r="X476" s="4"/>
    </row>
    <row r="477" spans="10:24" ht="12.75" x14ac:dyDescent="0.2">
      <c r="J477" s="4"/>
      <c r="K477" s="79"/>
      <c r="L477" s="4"/>
      <c r="M477" s="17"/>
      <c r="N477" s="4"/>
      <c r="O477" s="4"/>
      <c r="U477" s="4"/>
      <c r="V477" s="4"/>
      <c r="W477" s="4"/>
      <c r="X477" s="4"/>
    </row>
    <row r="478" spans="10:24" ht="12.75" x14ac:dyDescent="0.2">
      <c r="J478" s="4"/>
      <c r="K478" s="79"/>
      <c r="L478" s="4"/>
      <c r="M478" s="17"/>
      <c r="N478" s="4"/>
      <c r="O478" s="4"/>
      <c r="U478" s="4"/>
      <c r="V478" s="4"/>
      <c r="W478" s="4"/>
      <c r="X478" s="4"/>
    </row>
    <row r="479" spans="10:24" ht="12.75" x14ac:dyDescent="0.2">
      <c r="J479" s="4"/>
      <c r="K479" s="79"/>
      <c r="L479" s="4"/>
      <c r="M479" s="17"/>
      <c r="N479" s="4"/>
      <c r="O479" s="4"/>
      <c r="U479" s="4"/>
      <c r="V479" s="4"/>
      <c r="W479" s="4"/>
      <c r="X479" s="4"/>
    </row>
    <row r="480" spans="10:24" ht="12.75" x14ac:dyDescent="0.2">
      <c r="J480" s="4"/>
      <c r="K480" s="79"/>
      <c r="L480" s="4"/>
      <c r="M480" s="17"/>
      <c r="N480" s="4"/>
      <c r="O480" s="4"/>
      <c r="U480" s="4"/>
      <c r="V480" s="4"/>
      <c r="W480" s="4"/>
      <c r="X480" s="4"/>
    </row>
    <row r="481" spans="10:24" ht="12.75" x14ac:dyDescent="0.2">
      <c r="J481" s="4"/>
      <c r="K481" s="79"/>
      <c r="L481" s="4"/>
      <c r="M481" s="17"/>
      <c r="N481" s="4"/>
      <c r="O481" s="4"/>
      <c r="U481" s="4"/>
      <c r="V481" s="4"/>
      <c r="W481" s="4"/>
      <c r="X481" s="4"/>
    </row>
    <row r="482" spans="10:24" ht="12.75" x14ac:dyDescent="0.2">
      <c r="J482" s="4"/>
      <c r="K482" s="79"/>
      <c r="L482" s="4"/>
      <c r="M482" s="17"/>
      <c r="N482" s="4"/>
      <c r="O482" s="4"/>
      <c r="U482" s="4"/>
      <c r="V482" s="4"/>
      <c r="W482" s="4"/>
      <c r="X482" s="4"/>
    </row>
    <row r="483" spans="10:24" ht="12.75" x14ac:dyDescent="0.2">
      <c r="J483" s="4"/>
      <c r="K483" s="79"/>
      <c r="L483" s="4"/>
      <c r="M483" s="17"/>
      <c r="N483" s="4"/>
      <c r="O483" s="4"/>
      <c r="U483" s="4"/>
      <c r="V483" s="4"/>
      <c r="W483" s="4"/>
      <c r="X483" s="4"/>
    </row>
    <row r="484" spans="10:24" ht="12.75" x14ac:dyDescent="0.2">
      <c r="J484" s="4"/>
      <c r="K484" s="79"/>
      <c r="L484" s="4"/>
      <c r="M484" s="17"/>
      <c r="N484" s="4"/>
      <c r="O484" s="4"/>
      <c r="U484" s="4"/>
      <c r="V484" s="4"/>
      <c r="W484" s="4"/>
      <c r="X484" s="4"/>
    </row>
    <row r="485" spans="10:24" ht="12.75" x14ac:dyDescent="0.2">
      <c r="J485" s="4"/>
      <c r="K485" s="79"/>
      <c r="L485" s="4"/>
      <c r="M485" s="17"/>
      <c r="N485" s="4"/>
      <c r="O485" s="4"/>
      <c r="U485" s="4"/>
      <c r="V485" s="4"/>
      <c r="W485" s="4"/>
      <c r="X485" s="4"/>
    </row>
    <row r="486" spans="10:24" ht="12.75" x14ac:dyDescent="0.2">
      <c r="J486" s="4"/>
      <c r="K486" s="79"/>
      <c r="L486" s="4"/>
      <c r="M486" s="17"/>
      <c r="N486" s="4"/>
      <c r="O486" s="4"/>
      <c r="U486" s="4"/>
      <c r="V486" s="4"/>
      <c r="W486" s="4"/>
      <c r="X486" s="4"/>
    </row>
    <row r="487" spans="10:24" ht="12.75" x14ac:dyDescent="0.2">
      <c r="J487" s="4"/>
      <c r="K487" s="79"/>
      <c r="L487" s="4"/>
      <c r="M487" s="17"/>
      <c r="N487" s="4"/>
      <c r="O487" s="4"/>
      <c r="U487" s="4"/>
      <c r="V487" s="4"/>
      <c r="W487" s="4"/>
      <c r="X487" s="4"/>
    </row>
    <row r="488" spans="10:24" ht="12.75" x14ac:dyDescent="0.2">
      <c r="J488" s="4"/>
      <c r="K488" s="79"/>
      <c r="L488" s="4"/>
      <c r="M488" s="17"/>
      <c r="N488" s="4"/>
      <c r="O488" s="4"/>
      <c r="U488" s="4"/>
      <c r="V488" s="4"/>
      <c r="W488" s="4"/>
      <c r="X488" s="4"/>
    </row>
    <row r="489" spans="10:24" ht="12.75" x14ac:dyDescent="0.2">
      <c r="J489" s="4"/>
      <c r="K489" s="79"/>
      <c r="L489" s="4"/>
      <c r="M489" s="17"/>
      <c r="N489" s="4"/>
      <c r="O489" s="4"/>
      <c r="U489" s="4"/>
      <c r="V489" s="4"/>
      <c r="W489" s="4"/>
      <c r="X489" s="4"/>
    </row>
    <row r="490" spans="10:24" ht="12.75" x14ac:dyDescent="0.2">
      <c r="J490" s="4"/>
      <c r="K490" s="79"/>
      <c r="L490" s="4"/>
      <c r="M490" s="17"/>
      <c r="N490" s="4"/>
      <c r="O490" s="4"/>
      <c r="U490" s="4"/>
      <c r="V490" s="4"/>
      <c r="W490" s="4"/>
      <c r="X490" s="4"/>
    </row>
    <row r="491" spans="10:24" ht="12.75" x14ac:dyDescent="0.2">
      <c r="J491" s="4"/>
      <c r="K491" s="79"/>
      <c r="L491" s="4"/>
      <c r="M491" s="17"/>
      <c r="N491" s="4"/>
      <c r="O491" s="4"/>
      <c r="U491" s="4"/>
      <c r="V491" s="4"/>
      <c r="W491" s="4"/>
      <c r="X491" s="4"/>
    </row>
    <row r="492" spans="10:24" ht="12.75" x14ac:dyDescent="0.2">
      <c r="J492" s="4"/>
      <c r="K492" s="79"/>
      <c r="L492" s="4"/>
      <c r="M492" s="17"/>
      <c r="N492" s="4"/>
      <c r="O492" s="4"/>
      <c r="U492" s="4"/>
      <c r="V492" s="4"/>
      <c r="W492" s="4"/>
      <c r="X492" s="4"/>
    </row>
    <row r="493" spans="10:24" ht="12.75" x14ac:dyDescent="0.2">
      <c r="J493" s="4"/>
      <c r="K493" s="79"/>
      <c r="L493" s="4"/>
      <c r="M493" s="17"/>
      <c r="N493" s="4"/>
      <c r="O493" s="4"/>
      <c r="U493" s="4"/>
      <c r="V493" s="4"/>
      <c r="W493" s="4"/>
      <c r="X493" s="4"/>
    </row>
    <row r="494" spans="10:24" ht="12.75" x14ac:dyDescent="0.2">
      <c r="J494" s="4"/>
      <c r="K494" s="79"/>
      <c r="L494" s="4"/>
      <c r="M494" s="17"/>
      <c r="N494" s="4"/>
      <c r="O494" s="4"/>
      <c r="U494" s="4"/>
      <c r="V494" s="4"/>
      <c r="W494" s="4"/>
      <c r="X494" s="4"/>
    </row>
    <row r="495" spans="10:24" ht="12.75" x14ac:dyDescent="0.2">
      <c r="J495" s="4"/>
      <c r="K495" s="79"/>
      <c r="L495" s="4"/>
      <c r="M495" s="17"/>
      <c r="N495" s="4"/>
      <c r="O495" s="4"/>
      <c r="U495" s="4"/>
      <c r="V495" s="4"/>
      <c r="W495" s="4"/>
      <c r="X495" s="4"/>
    </row>
    <row r="496" spans="10:24" ht="12.75" x14ac:dyDescent="0.2">
      <c r="J496" s="4"/>
      <c r="K496" s="79"/>
      <c r="L496" s="4"/>
      <c r="M496" s="17"/>
      <c r="N496" s="4"/>
      <c r="O496" s="4"/>
      <c r="U496" s="4"/>
      <c r="V496" s="4"/>
      <c r="W496" s="4"/>
      <c r="X496" s="4"/>
    </row>
    <row r="497" spans="10:24" ht="12.75" x14ac:dyDescent="0.2">
      <c r="J497" s="4"/>
      <c r="K497" s="79"/>
      <c r="L497" s="4"/>
      <c r="M497" s="17"/>
      <c r="N497" s="4"/>
      <c r="O497" s="4"/>
      <c r="U497" s="4"/>
      <c r="V497" s="4"/>
      <c r="W497" s="4"/>
      <c r="X497" s="4"/>
    </row>
    <row r="498" spans="10:24" ht="12.75" x14ac:dyDescent="0.2">
      <c r="J498" s="4"/>
      <c r="K498" s="79"/>
      <c r="L498" s="4"/>
      <c r="M498" s="17"/>
      <c r="N498" s="4"/>
      <c r="O498" s="4"/>
      <c r="U498" s="4"/>
      <c r="V498" s="4"/>
      <c r="W498" s="4"/>
      <c r="X498" s="4"/>
    </row>
    <row r="499" spans="10:24" ht="12.75" x14ac:dyDescent="0.2">
      <c r="J499" s="4"/>
      <c r="K499" s="79"/>
      <c r="L499" s="4"/>
      <c r="M499" s="17"/>
      <c r="N499" s="4"/>
      <c r="O499" s="4"/>
      <c r="U499" s="4"/>
      <c r="V499" s="4"/>
      <c r="W499" s="4"/>
      <c r="X499" s="4"/>
    </row>
    <row r="500" spans="10:24" ht="12.75" x14ac:dyDescent="0.2">
      <c r="J500" s="4"/>
      <c r="K500" s="79"/>
      <c r="L500" s="4"/>
      <c r="M500" s="17"/>
      <c r="N500" s="4"/>
      <c r="O500" s="4"/>
      <c r="U500" s="4"/>
      <c r="V500" s="4"/>
      <c r="W500" s="4"/>
      <c r="X500" s="4"/>
    </row>
    <row r="501" spans="10:24" ht="12.75" x14ac:dyDescent="0.2">
      <c r="J501" s="4"/>
      <c r="K501" s="79"/>
      <c r="L501" s="4"/>
      <c r="M501" s="17"/>
      <c r="N501" s="4"/>
      <c r="O501" s="4"/>
      <c r="U501" s="4"/>
      <c r="V501" s="4"/>
      <c r="W501" s="4"/>
      <c r="X501" s="4"/>
    </row>
    <row r="502" spans="10:24" ht="12.75" x14ac:dyDescent="0.2">
      <c r="J502" s="4"/>
      <c r="K502" s="79"/>
      <c r="L502" s="4"/>
      <c r="M502" s="17"/>
      <c r="N502" s="4"/>
      <c r="O502" s="4"/>
      <c r="U502" s="4"/>
      <c r="V502" s="4"/>
      <c r="W502" s="4"/>
      <c r="X502" s="4"/>
    </row>
    <row r="503" spans="10:24" ht="12.75" x14ac:dyDescent="0.2">
      <c r="J503" s="4"/>
      <c r="K503" s="79"/>
      <c r="L503" s="4"/>
      <c r="M503" s="17"/>
      <c r="N503" s="4"/>
      <c r="O503" s="4"/>
      <c r="U503" s="4"/>
      <c r="V503" s="4"/>
      <c r="W503" s="4"/>
      <c r="X503" s="4"/>
    </row>
    <row r="504" spans="10:24" ht="12.75" x14ac:dyDescent="0.2">
      <c r="J504" s="4"/>
      <c r="K504" s="79"/>
      <c r="L504" s="4"/>
      <c r="M504" s="17"/>
      <c r="N504" s="4"/>
      <c r="O504" s="4"/>
      <c r="U504" s="4"/>
      <c r="V504" s="4"/>
      <c r="W504" s="4"/>
      <c r="X504" s="4"/>
    </row>
    <row r="505" spans="10:24" ht="12.75" x14ac:dyDescent="0.2">
      <c r="J505" s="4"/>
      <c r="K505" s="79"/>
      <c r="L505" s="4"/>
      <c r="M505" s="17"/>
      <c r="N505" s="4"/>
      <c r="O505" s="4"/>
      <c r="U505" s="4"/>
      <c r="V505" s="4"/>
      <c r="W505" s="4"/>
      <c r="X505" s="4"/>
    </row>
    <row r="506" spans="10:24" ht="12.75" x14ac:dyDescent="0.2">
      <c r="J506" s="4"/>
      <c r="K506" s="79"/>
      <c r="L506" s="4"/>
      <c r="M506" s="17"/>
      <c r="N506" s="4"/>
      <c r="O506" s="4"/>
      <c r="U506" s="4"/>
      <c r="V506" s="4"/>
      <c r="W506" s="4"/>
      <c r="X506" s="4"/>
    </row>
    <row r="507" spans="10:24" ht="12.75" x14ac:dyDescent="0.2">
      <c r="J507" s="4"/>
      <c r="K507" s="79"/>
      <c r="L507" s="4"/>
      <c r="M507" s="17"/>
      <c r="N507" s="4"/>
      <c r="O507" s="4"/>
      <c r="U507" s="4"/>
      <c r="V507" s="4"/>
      <c r="W507" s="4"/>
      <c r="X507" s="4"/>
    </row>
    <row r="508" spans="10:24" ht="12.75" x14ac:dyDescent="0.2">
      <c r="J508" s="4"/>
      <c r="K508" s="79"/>
      <c r="L508" s="4"/>
      <c r="M508" s="17"/>
      <c r="N508" s="4"/>
      <c r="O508" s="4"/>
      <c r="U508" s="4"/>
      <c r="V508" s="4"/>
      <c r="W508" s="4"/>
      <c r="X508" s="4"/>
    </row>
    <row r="509" spans="10:24" ht="12.75" x14ac:dyDescent="0.2">
      <c r="J509" s="4"/>
      <c r="K509" s="79"/>
      <c r="L509" s="4"/>
      <c r="M509" s="17"/>
      <c r="N509" s="4"/>
      <c r="O509" s="4"/>
      <c r="U509" s="4"/>
      <c r="V509" s="4"/>
      <c r="W509" s="4"/>
      <c r="X509" s="4"/>
    </row>
    <row r="510" spans="10:24" ht="12.75" x14ac:dyDescent="0.2">
      <c r="J510" s="4"/>
      <c r="K510" s="79"/>
      <c r="L510" s="4"/>
      <c r="M510" s="17"/>
      <c r="N510" s="4"/>
      <c r="O510" s="4"/>
      <c r="U510" s="4"/>
      <c r="V510" s="4"/>
      <c r="W510" s="4"/>
      <c r="X510" s="4"/>
    </row>
    <row r="511" spans="10:24" ht="12.75" x14ac:dyDescent="0.2">
      <c r="J511" s="4"/>
      <c r="K511" s="79"/>
      <c r="L511" s="4"/>
      <c r="M511" s="17"/>
      <c r="N511" s="4"/>
      <c r="O511" s="4"/>
      <c r="U511" s="4"/>
      <c r="V511" s="4"/>
      <c r="W511" s="4"/>
      <c r="X511" s="4"/>
    </row>
    <row r="512" spans="10:24" ht="12.75" x14ac:dyDescent="0.2">
      <c r="J512" s="4"/>
      <c r="K512" s="79"/>
      <c r="L512" s="4"/>
      <c r="M512" s="17"/>
      <c r="N512" s="4"/>
      <c r="O512" s="4"/>
      <c r="U512" s="4"/>
      <c r="V512" s="4"/>
      <c r="W512" s="4"/>
      <c r="X512" s="4"/>
    </row>
    <row r="513" spans="10:24" ht="12.75" x14ac:dyDescent="0.2">
      <c r="J513" s="4"/>
      <c r="K513" s="79"/>
      <c r="L513" s="4"/>
      <c r="M513" s="17"/>
      <c r="N513" s="4"/>
      <c r="O513" s="4"/>
      <c r="U513" s="4"/>
      <c r="V513" s="4"/>
      <c r="W513" s="4"/>
      <c r="X513" s="4"/>
    </row>
    <row r="514" spans="10:24" ht="12.75" x14ac:dyDescent="0.2">
      <c r="J514" s="4"/>
      <c r="K514" s="79"/>
      <c r="L514" s="4"/>
      <c r="M514" s="17"/>
      <c r="N514" s="4"/>
      <c r="O514" s="4"/>
      <c r="U514" s="4"/>
      <c r="V514" s="4"/>
      <c r="W514" s="4"/>
      <c r="X514" s="4"/>
    </row>
    <row r="515" spans="10:24" ht="12.75" x14ac:dyDescent="0.2">
      <c r="J515" s="4"/>
      <c r="K515" s="79"/>
      <c r="L515" s="4"/>
      <c r="M515" s="17"/>
      <c r="N515" s="4"/>
      <c r="O515" s="4"/>
      <c r="U515" s="4"/>
      <c r="V515" s="4"/>
      <c r="W515" s="4"/>
      <c r="X515" s="4"/>
    </row>
    <row r="516" spans="10:24" ht="12.75" x14ac:dyDescent="0.2">
      <c r="J516" s="4"/>
      <c r="K516" s="79"/>
      <c r="L516" s="4"/>
      <c r="M516" s="17"/>
      <c r="N516" s="4"/>
      <c r="O516" s="4"/>
      <c r="U516" s="4"/>
      <c r="V516" s="4"/>
      <c r="W516" s="4"/>
      <c r="X516" s="4"/>
    </row>
    <row r="517" spans="10:24" ht="12.75" x14ac:dyDescent="0.2">
      <c r="J517" s="4"/>
      <c r="K517" s="79"/>
      <c r="L517" s="4"/>
      <c r="M517" s="17"/>
      <c r="N517" s="4"/>
      <c r="O517" s="4"/>
      <c r="U517" s="4"/>
      <c r="V517" s="4"/>
      <c r="W517" s="4"/>
      <c r="X517" s="4"/>
    </row>
    <row r="518" spans="10:24" ht="12.75" x14ac:dyDescent="0.2">
      <c r="J518" s="4"/>
      <c r="K518" s="79"/>
      <c r="L518" s="4"/>
      <c r="M518" s="17"/>
      <c r="N518" s="4"/>
      <c r="O518" s="4"/>
      <c r="U518" s="4"/>
      <c r="V518" s="4"/>
      <c r="W518" s="4"/>
      <c r="X518" s="4"/>
    </row>
    <row r="519" spans="10:24" ht="12.75" x14ac:dyDescent="0.2">
      <c r="J519" s="4"/>
      <c r="K519" s="79"/>
      <c r="L519" s="4"/>
      <c r="M519" s="17"/>
      <c r="N519" s="4"/>
      <c r="O519" s="4"/>
      <c r="U519" s="4"/>
      <c r="V519" s="4"/>
      <c r="W519" s="4"/>
      <c r="X519" s="4"/>
    </row>
    <row r="520" spans="10:24" ht="12.75" x14ac:dyDescent="0.2">
      <c r="J520" s="4"/>
      <c r="K520" s="79"/>
      <c r="L520" s="4"/>
      <c r="M520" s="17"/>
      <c r="N520" s="4"/>
      <c r="O520" s="4"/>
      <c r="U520" s="4"/>
      <c r="V520" s="4"/>
      <c r="W520" s="4"/>
      <c r="X520" s="4"/>
    </row>
    <row r="521" spans="10:24" ht="12.75" x14ac:dyDescent="0.2">
      <c r="J521" s="4"/>
      <c r="K521" s="79"/>
      <c r="L521" s="4"/>
      <c r="M521" s="17"/>
      <c r="N521" s="4"/>
      <c r="O521" s="4"/>
      <c r="U521" s="4"/>
      <c r="V521" s="4"/>
      <c r="W521" s="4"/>
      <c r="X521" s="4"/>
    </row>
    <row r="522" spans="10:24" ht="12.75" x14ac:dyDescent="0.2">
      <c r="J522" s="4"/>
      <c r="K522" s="79"/>
      <c r="L522" s="4"/>
      <c r="M522" s="17"/>
      <c r="N522" s="4"/>
      <c r="O522" s="4"/>
      <c r="U522" s="4"/>
      <c r="V522" s="4"/>
      <c r="W522" s="4"/>
      <c r="X522" s="4"/>
    </row>
    <row r="523" spans="10:24" ht="12.75" x14ac:dyDescent="0.2">
      <c r="J523" s="4"/>
      <c r="K523" s="79"/>
      <c r="L523" s="4"/>
      <c r="M523" s="17"/>
      <c r="N523" s="4"/>
      <c r="O523" s="4"/>
      <c r="U523" s="4"/>
      <c r="V523" s="4"/>
      <c r="W523" s="4"/>
      <c r="X523" s="4"/>
    </row>
    <row r="524" spans="10:24" ht="12.75" x14ac:dyDescent="0.2">
      <c r="J524" s="4"/>
      <c r="K524" s="79"/>
      <c r="L524" s="4"/>
      <c r="M524" s="17"/>
      <c r="N524" s="4"/>
      <c r="O524" s="4"/>
      <c r="U524" s="4"/>
      <c r="V524" s="4"/>
      <c r="W524" s="4"/>
      <c r="X524" s="4"/>
    </row>
    <row r="525" spans="10:24" ht="12.75" x14ac:dyDescent="0.2">
      <c r="J525" s="4"/>
      <c r="K525" s="79"/>
      <c r="L525" s="4"/>
      <c r="M525" s="17"/>
      <c r="N525" s="4"/>
      <c r="O525" s="4"/>
      <c r="U525" s="4"/>
      <c r="V525" s="4"/>
      <c r="W525" s="4"/>
      <c r="X525" s="4"/>
    </row>
    <row r="526" spans="10:24" ht="12.75" x14ac:dyDescent="0.2">
      <c r="J526" s="4"/>
      <c r="K526" s="79"/>
      <c r="L526" s="4"/>
      <c r="M526" s="17"/>
      <c r="N526" s="4"/>
      <c r="O526" s="4"/>
      <c r="U526" s="4"/>
      <c r="V526" s="4"/>
      <c r="W526" s="4"/>
      <c r="X526" s="4"/>
    </row>
    <row r="527" spans="10:24" ht="12.75" x14ac:dyDescent="0.2">
      <c r="J527" s="4"/>
      <c r="K527" s="79"/>
      <c r="L527" s="4"/>
      <c r="M527" s="17"/>
      <c r="N527" s="4"/>
      <c r="O527" s="4"/>
      <c r="U527" s="4"/>
      <c r="V527" s="4"/>
      <c r="W527" s="4"/>
      <c r="X527" s="4"/>
    </row>
    <row r="528" spans="10:24" ht="12.75" x14ac:dyDescent="0.2">
      <c r="J528" s="4"/>
      <c r="K528" s="79"/>
      <c r="L528" s="4"/>
      <c r="M528" s="17"/>
      <c r="N528" s="4"/>
      <c r="O528" s="4"/>
      <c r="U528" s="4"/>
      <c r="V528" s="4"/>
      <c r="W528" s="4"/>
      <c r="X528" s="4"/>
    </row>
    <row r="529" spans="10:24" ht="12.75" x14ac:dyDescent="0.2">
      <c r="J529" s="4"/>
      <c r="K529" s="79"/>
      <c r="L529" s="4"/>
      <c r="M529" s="17"/>
      <c r="N529" s="4"/>
      <c r="O529" s="4"/>
      <c r="U529" s="4"/>
      <c r="V529" s="4"/>
      <c r="W529" s="4"/>
      <c r="X529" s="4"/>
    </row>
    <row r="530" spans="10:24" ht="12.75" x14ac:dyDescent="0.2">
      <c r="J530" s="4"/>
      <c r="K530" s="79"/>
      <c r="L530" s="4"/>
      <c r="M530" s="17"/>
      <c r="N530" s="4"/>
      <c r="O530" s="4"/>
      <c r="U530" s="4"/>
      <c r="V530" s="4"/>
      <c r="W530" s="4"/>
      <c r="X530" s="4"/>
    </row>
    <row r="531" spans="10:24" ht="12.75" x14ac:dyDescent="0.2">
      <c r="J531" s="4"/>
      <c r="K531" s="79"/>
      <c r="L531" s="4"/>
      <c r="M531" s="17"/>
      <c r="N531" s="4"/>
      <c r="O531" s="4"/>
      <c r="U531" s="4"/>
      <c r="V531" s="4"/>
      <c r="W531" s="4"/>
      <c r="X531" s="4"/>
    </row>
    <row r="532" spans="10:24" ht="12.75" x14ac:dyDescent="0.2">
      <c r="J532" s="4"/>
      <c r="K532" s="79"/>
      <c r="L532" s="4"/>
      <c r="M532" s="17"/>
      <c r="N532" s="4"/>
      <c r="O532" s="4"/>
      <c r="U532" s="4"/>
      <c r="V532" s="4"/>
      <c r="W532" s="4"/>
      <c r="X532" s="4"/>
    </row>
    <row r="533" spans="10:24" ht="12.75" x14ac:dyDescent="0.2">
      <c r="J533" s="4"/>
      <c r="K533" s="79"/>
      <c r="L533" s="4"/>
      <c r="M533" s="17"/>
      <c r="N533" s="4"/>
      <c r="O533" s="4"/>
      <c r="U533" s="4"/>
      <c r="V533" s="4"/>
      <c r="W533" s="4"/>
      <c r="X533" s="4"/>
    </row>
    <row r="534" spans="10:24" ht="12.75" x14ac:dyDescent="0.2">
      <c r="J534" s="4"/>
      <c r="K534" s="79"/>
      <c r="L534" s="4"/>
      <c r="M534" s="17"/>
      <c r="N534" s="4"/>
      <c r="O534" s="4"/>
      <c r="U534" s="4"/>
      <c r="V534" s="4"/>
      <c r="W534" s="4"/>
      <c r="X534" s="4"/>
    </row>
    <row r="535" spans="10:24" ht="12.75" x14ac:dyDescent="0.2">
      <c r="J535" s="4"/>
      <c r="K535" s="79"/>
      <c r="L535" s="4"/>
      <c r="M535" s="17"/>
      <c r="N535" s="4"/>
      <c r="O535" s="4"/>
      <c r="U535" s="4"/>
      <c r="V535" s="4"/>
      <c r="W535" s="4"/>
      <c r="X535" s="4"/>
    </row>
    <row r="536" spans="10:24" ht="12.75" x14ac:dyDescent="0.2">
      <c r="J536" s="4"/>
      <c r="K536" s="79"/>
      <c r="L536" s="4"/>
      <c r="M536" s="17"/>
      <c r="N536" s="4"/>
      <c r="O536" s="4"/>
      <c r="U536" s="4"/>
      <c r="V536" s="4"/>
      <c r="W536" s="4"/>
      <c r="X536" s="4"/>
    </row>
    <row r="537" spans="10:24" ht="12.75" x14ac:dyDescent="0.2">
      <c r="J537" s="4"/>
      <c r="K537" s="79"/>
      <c r="L537" s="4"/>
      <c r="M537" s="17"/>
      <c r="N537" s="4"/>
      <c r="O537" s="4"/>
      <c r="U537" s="4"/>
      <c r="V537" s="4"/>
      <c r="W537" s="4"/>
      <c r="X537" s="4"/>
    </row>
    <row r="538" spans="10:24" ht="12.75" x14ac:dyDescent="0.2">
      <c r="J538" s="4"/>
      <c r="K538" s="79"/>
      <c r="L538" s="4"/>
      <c r="M538" s="17"/>
      <c r="N538" s="4"/>
      <c r="O538" s="4"/>
      <c r="U538" s="4"/>
      <c r="V538" s="4"/>
      <c r="W538" s="4"/>
      <c r="X538" s="4"/>
    </row>
    <row r="539" spans="10:24" ht="12.75" x14ac:dyDescent="0.2">
      <c r="J539" s="4"/>
      <c r="K539" s="79"/>
      <c r="L539" s="4"/>
      <c r="M539" s="17"/>
      <c r="N539" s="4"/>
      <c r="O539" s="4"/>
      <c r="U539" s="4"/>
      <c r="V539" s="4"/>
      <c r="W539" s="4"/>
      <c r="X539" s="4"/>
    </row>
    <row r="540" spans="10:24" ht="12.75" x14ac:dyDescent="0.2">
      <c r="J540" s="4"/>
      <c r="K540" s="79"/>
      <c r="L540" s="4"/>
      <c r="M540" s="17"/>
      <c r="N540" s="4"/>
      <c r="O540" s="4"/>
      <c r="U540" s="4"/>
      <c r="V540" s="4"/>
      <c r="W540" s="4"/>
      <c r="X540" s="4"/>
    </row>
    <row r="541" spans="10:24" ht="12.75" x14ac:dyDescent="0.2">
      <c r="J541" s="4"/>
      <c r="K541" s="79"/>
      <c r="L541" s="4"/>
      <c r="M541" s="17"/>
      <c r="N541" s="4"/>
      <c r="O541" s="4"/>
      <c r="U541" s="4"/>
      <c r="V541" s="4"/>
      <c r="W541" s="4"/>
      <c r="X541" s="4"/>
    </row>
    <row r="542" spans="10:24" ht="12.75" x14ac:dyDescent="0.2">
      <c r="J542" s="4"/>
      <c r="K542" s="79"/>
      <c r="L542" s="4"/>
      <c r="M542" s="17"/>
      <c r="N542" s="4"/>
      <c r="O542" s="4"/>
      <c r="U542" s="4"/>
      <c r="V542" s="4"/>
      <c r="W542" s="4"/>
      <c r="X542" s="4"/>
    </row>
    <row r="543" spans="10:24" ht="12.75" x14ac:dyDescent="0.2">
      <c r="J543" s="4"/>
      <c r="K543" s="79"/>
      <c r="L543" s="4"/>
      <c r="M543" s="17"/>
      <c r="N543" s="4"/>
      <c r="O543" s="4"/>
      <c r="U543" s="4"/>
      <c r="V543" s="4"/>
      <c r="W543" s="4"/>
      <c r="X543" s="4"/>
    </row>
    <row r="544" spans="10:24" ht="12.75" x14ac:dyDescent="0.2">
      <c r="J544" s="4"/>
      <c r="K544" s="79"/>
      <c r="L544" s="4"/>
      <c r="M544" s="17"/>
      <c r="N544" s="4"/>
      <c r="O544" s="4"/>
      <c r="U544" s="4"/>
      <c r="V544" s="4"/>
      <c r="W544" s="4"/>
      <c r="X544" s="4"/>
    </row>
    <row r="545" spans="10:24" ht="12.75" x14ac:dyDescent="0.2">
      <c r="J545" s="4"/>
      <c r="K545" s="79"/>
      <c r="L545" s="4"/>
      <c r="M545" s="17"/>
      <c r="N545" s="4"/>
      <c r="O545" s="4"/>
      <c r="U545" s="4"/>
      <c r="V545" s="4"/>
      <c r="W545" s="4"/>
      <c r="X545" s="4"/>
    </row>
    <row r="546" spans="10:24" ht="12.75" x14ac:dyDescent="0.2">
      <c r="J546" s="4"/>
      <c r="K546" s="79"/>
      <c r="L546" s="4"/>
      <c r="M546" s="17"/>
      <c r="N546" s="4"/>
      <c r="O546" s="4"/>
      <c r="U546" s="4"/>
      <c r="V546" s="4"/>
      <c r="W546" s="4"/>
      <c r="X546" s="4"/>
    </row>
    <row r="547" spans="10:24" ht="12.75" x14ac:dyDescent="0.2">
      <c r="J547" s="4"/>
      <c r="K547" s="79"/>
      <c r="L547" s="4"/>
      <c r="M547" s="17"/>
      <c r="N547" s="4"/>
      <c r="O547" s="4"/>
      <c r="U547" s="4"/>
      <c r="V547" s="4"/>
      <c r="W547" s="4"/>
      <c r="X547" s="4"/>
    </row>
    <row r="548" spans="10:24" ht="12.75" x14ac:dyDescent="0.2">
      <c r="J548" s="4"/>
      <c r="K548" s="79"/>
      <c r="L548" s="4"/>
      <c r="M548" s="17"/>
      <c r="N548" s="4"/>
      <c r="O548" s="4"/>
      <c r="U548" s="4"/>
      <c r="V548" s="4"/>
      <c r="W548" s="4"/>
      <c r="X548" s="4"/>
    </row>
    <row r="549" spans="10:24" ht="12.75" x14ac:dyDescent="0.2">
      <c r="J549" s="4"/>
      <c r="K549" s="79"/>
      <c r="L549" s="4"/>
      <c r="M549" s="17"/>
      <c r="N549" s="4"/>
      <c r="O549" s="4"/>
      <c r="U549" s="4"/>
      <c r="V549" s="4"/>
      <c r="W549" s="4"/>
      <c r="X549" s="4"/>
    </row>
    <row r="550" spans="10:24" ht="12.75" x14ac:dyDescent="0.2">
      <c r="J550" s="4"/>
      <c r="K550" s="79"/>
      <c r="L550" s="4"/>
      <c r="M550" s="17"/>
      <c r="N550" s="4"/>
      <c r="O550" s="4"/>
      <c r="U550" s="4"/>
      <c r="V550" s="4"/>
      <c r="W550" s="4"/>
      <c r="X550" s="4"/>
    </row>
    <row r="551" spans="10:24" ht="12.75" x14ac:dyDescent="0.2">
      <c r="J551" s="4"/>
      <c r="K551" s="79"/>
      <c r="L551" s="4"/>
      <c r="M551" s="17"/>
      <c r="N551" s="4"/>
      <c r="O551" s="4"/>
      <c r="U551" s="4"/>
      <c r="V551" s="4"/>
      <c r="W551" s="4"/>
      <c r="X551" s="4"/>
    </row>
    <row r="552" spans="10:24" ht="12.75" x14ac:dyDescent="0.2">
      <c r="J552" s="4"/>
      <c r="K552" s="79"/>
      <c r="L552" s="4"/>
      <c r="M552" s="17"/>
      <c r="N552" s="4"/>
      <c r="O552" s="4"/>
      <c r="U552" s="4"/>
      <c r="V552" s="4"/>
      <c r="W552" s="4"/>
      <c r="X552" s="4"/>
    </row>
    <row r="553" spans="10:24" ht="12.75" x14ac:dyDescent="0.2">
      <c r="J553" s="4"/>
      <c r="K553" s="79"/>
      <c r="L553" s="4"/>
      <c r="M553" s="17"/>
      <c r="N553" s="4"/>
      <c r="O553" s="4"/>
      <c r="U553" s="4"/>
      <c r="V553" s="4"/>
      <c r="W553" s="4"/>
      <c r="X553" s="4"/>
    </row>
    <row r="554" spans="10:24" ht="12.75" x14ac:dyDescent="0.2">
      <c r="J554" s="4"/>
      <c r="K554" s="79"/>
      <c r="L554" s="4"/>
      <c r="M554" s="17"/>
      <c r="N554" s="4"/>
      <c r="O554" s="4"/>
      <c r="U554" s="4"/>
      <c r="V554" s="4"/>
      <c r="W554" s="4"/>
      <c r="X554" s="4"/>
    </row>
    <row r="555" spans="10:24" ht="12.75" x14ac:dyDescent="0.2">
      <c r="J555" s="4"/>
      <c r="K555" s="79"/>
      <c r="L555" s="4"/>
      <c r="M555" s="17"/>
      <c r="N555" s="4"/>
      <c r="O555" s="4"/>
      <c r="U555" s="4"/>
      <c r="V555" s="4"/>
      <c r="W555" s="4"/>
      <c r="X555" s="4"/>
    </row>
    <row r="556" spans="10:24" ht="12.75" x14ac:dyDescent="0.2">
      <c r="J556" s="4"/>
      <c r="K556" s="79"/>
      <c r="L556" s="4"/>
      <c r="M556" s="17"/>
      <c r="N556" s="4"/>
      <c r="O556" s="4"/>
      <c r="U556" s="4"/>
      <c r="V556" s="4"/>
      <c r="W556" s="4"/>
      <c r="X556" s="4"/>
    </row>
    <row r="557" spans="10:24" ht="12.75" x14ac:dyDescent="0.2">
      <c r="J557" s="4"/>
      <c r="K557" s="79"/>
      <c r="L557" s="4"/>
      <c r="M557" s="17"/>
      <c r="N557" s="4"/>
      <c r="O557" s="4"/>
      <c r="U557" s="4"/>
      <c r="V557" s="4"/>
      <c r="W557" s="4"/>
      <c r="X557" s="4"/>
    </row>
    <row r="558" spans="10:24" ht="12.75" x14ac:dyDescent="0.2">
      <c r="J558" s="4"/>
      <c r="K558" s="79"/>
      <c r="L558" s="4"/>
      <c r="M558" s="17"/>
      <c r="N558" s="4"/>
      <c r="O558" s="4"/>
      <c r="U558" s="4"/>
      <c r="V558" s="4"/>
      <c r="W558" s="4"/>
      <c r="X558" s="4"/>
    </row>
    <row r="559" spans="10:24" ht="12.75" x14ac:dyDescent="0.2">
      <c r="J559" s="4"/>
      <c r="K559" s="79"/>
      <c r="L559" s="4"/>
      <c r="M559" s="17"/>
      <c r="N559" s="4"/>
      <c r="O559" s="4"/>
      <c r="U559" s="4"/>
      <c r="V559" s="4"/>
      <c r="W559" s="4"/>
      <c r="X559" s="4"/>
    </row>
    <row r="560" spans="10:24" ht="12.75" x14ac:dyDescent="0.2">
      <c r="J560" s="4"/>
      <c r="K560" s="79"/>
      <c r="L560" s="4"/>
      <c r="M560" s="17"/>
      <c r="N560" s="4"/>
      <c r="O560" s="4"/>
      <c r="U560" s="4"/>
      <c r="V560" s="4"/>
      <c r="W560" s="4"/>
      <c r="X560" s="4"/>
    </row>
    <row r="561" spans="10:24" ht="12.75" x14ac:dyDescent="0.2">
      <c r="J561" s="4"/>
      <c r="K561" s="79"/>
      <c r="L561" s="4"/>
      <c r="M561" s="17"/>
      <c r="N561" s="4"/>
      <c r="O561" s="4"/>
      <c r="U561" s="4"/>
      <c r="V561" s="4"/>
      <c r="W561" s="4"/>
      <c r="X561" s="4"/>
    </row>
    <row r="562" spans="10:24" ht="12.75" x14ac:dyDescent="0.2">
      <c r="J562" s="4"/>
      <c r="K562" s="79"/>
      <c r="L562" s="4"/>
      <c r="M562" s="17"/>
      <c r="N562" s="4"/>
      <c r="O562" s="4"/>
      <c r="U562" s="4"/>
      <c r="V562" s="4"/>
      <c r="W562" s="4"/>
      <c r="X562" s="4"/>
    </row>
    <row r="563" spans="10:24" ht="12.75" x14ac:dyDescent="0.2">
      <c r="J563" s="4"/>
      <c r="K563" s="79"/>
      <c r="L563" s="4"/>
      <c r="M563" s="17"/>
      <c r="N563" s="4"/>
      <c r="O563" s="4"/>
      <c r="U563" s="4"/>
      <c r="V563" s="4"/>
      <c r="W563" s="4"/>
      <c r="X563" s="4"/>
    </row>
    <row r="564" spans="10:24" ht="12.75" x14ac:dyDescent="0.2">
      <c r="J564" s="4"/>
      <c r="K564" s="79"/>
      <c r="L564" s="4"/>
      <c r="M564" s="17"/>
      <c r="N564" s="4"/>
      <c r="O564" s="4"/>
      <c r="U564" s="4"/>
      <c r="V564" s="4"/>
      <c r="W564" s="4"/>
      <c r="X564" s="4"/>
    </row>
    <row r="565" spans="10:24" ht="12.75" x14ac:dyDescent="0.2">
      <c r="J565" s="4"/>
      <c r="K565" s="79"/>
      <c r="L565" s="4"/>
      <c r="M565" s="17"/>
      <c r="N565" s="4"/>
      <c r="O565" s="4"/>
      <c r="U565" s="4"/>
      <c r="V565" s="4"/>
      <c r="W565" s="4"/>
      <c r="X565" s="4"/>
    </row>
    <row r="566" spans="10:24" ht="12.75" x14ac:dyDescent="0.2">
      <c r="J566" s="4"/>
      <c r="K566" s="79"/>
      <c r="L566" s="4"/>
      <c r="M566" s="17"/>
      <c r="N566" s="4"/>
      <c r="O566" s="4"/>
      <c r="U566" s="4"/>
      <c r="V566" s="4"/>
      <c r="W566" s="4"/>
      <c r="X566" s="4"/>
    </row>
    <row r="567" spans="10:24" ht="12.75" x14ac:dyDescent="0.2">
      <c r="J567" s="4"/>
      <c r="K567" s="79"/>
      <c r="L567" s="4"/>
      <c r="M567" s="17"/>
      <c r="N567" s="4"/>
      <c r="O567" s="4"/>
      <c r="U567" s="4"/>
      <c r="V567" s="4"/>
      <c r="W567" s="4"/>
      <c r="X567" s="4"/>
    </row>
    <row r="568" spans="10:24" ht="12.75" x14ac:dyDescent="0.2">
      <c r="J568" s="4"/>
      <c r="K568" s="79"/>
      <c r="L568" s="4"/>
      <c r="M568" s="17"/>
      <c r="N568" s="4"/>
      <c r="O568" s="4"/>
      <c r="U568" s="4"/>
      <c r="V568" s="4"/>
      <c r="W568" s="4"/>
      <c r="X568" s="4"/>
    </row>
    <row r="569" spans="10:24" ht="12.75" x14ac:dyDescent="0.2">
      <c r="J569" s="4"/>
      <c r="K569" s="79"/>
      <c r="L569" s="4"/>
      <c r="M569" s="17"/>
      <c r="N569" s="4"/>
      <c r="O569" s="4"/>
      <c r="U569" s="4"/>
      <c r="V569" s="4"/>
      <c r="W569" s="4"/>
      <c r="X569" s="4"/>
    </row>
    <row r="570" spans="10:24" ht="12.75" x14ac:dyDescent="0.2">
      <c r="J570" s="4"/>
      <c r="K570" s="79"/>
      <c r="L570" s="4"/>
      <c r="M570" s="17"/>
      <c r="N570" s="4"/>
      <c r="O570" s="4"/>
      <c r="U570" s="4"/>
      <c r="V570" s="4"/>
      <c r="W570" s="4"/>
      <c r="X570" s="4"/>
    </row>
    <row r="571" spans="10:24" ht="12.75" x14ac:dyDescent="0.2">
      <c r="J571" s="4"/>
      <c r="K571" s="79"/>
      <c r="L571" s="4"/>
      <c r="M571" s="17"/>
      <c r="N571" s="4"/>
      <c r="O571" s="4"/>
      <c r="U571" s="4"/>
      <c r="V571" s="4"/>
      <c r="W571" s="4"/>
      <c r="X571" s="4"/>
    </row>
    <row r="572" spans="10:24" ht="12.75" x14ac:dyDescent="0.2">
      <c r="J572" s="4"/>
      <c r="K572" s="79"/>
      <c r="L572" s="4"/>
      <c r="M572" s="17"/>
      <c r="N572" s="4"/>
      <c r="O572" s="4"/>
      <c r="U572" s="4"/>
      <c r="V572" s="4"/>
      <c r="W572" s="4"/>
      <c r="X572" s="4"/>
    </row>
    <row r="573" spans="10:24" ht="12.75" x14ac:dyDescent="0.2">
      <c r="J573" s="4"/>
      <c r="K573" s="79"/>
      <c r="L573" s="4"/>
      <c r="M573" s="17"/>
      <c r="N573" s="4"/>
      <c r="O573" s="4"/>
      <c r="U573" s="4"/>
      <c r="V573" s="4"/>
      <c r="W573" s="4"/>
      <c r="X573" s="4"/>
    </row>
    <row r="574" spans="10:24" ht="12.75" x14ac:dyDescent="0.2">
      <c r="J574" s="4"/>
      <c r="K574" s="79"/>
      <c r="L574" s="4"/>
      <c r="M574" s="17"/>
      <c r="N574" s="4"/>
      <c r="O574" s="4"/>
      <c r="U574" s="4"/>
      <c r="V574" s="4"/>
      <c r="W574" s="4"/>
      <c r="X574" s="4"/>
    </row>
    <row r="575" spans="10:24" ht="12.75" x14ac:dyDescent="0.2">
      <c r="J575" s="4"/>
      <c r="K575" s="79"/>
      <c r="L575" s="4"/>
      <c r="M575" s="17"/>
      <c r="N575" s="4"/>
      <c r="O575" s="4"/>
      <c r="U575" s="4"/>
      <c r="V575" s="4"/>
      <c r="W575" s="4"/>
      <c r="X575" s="4"/>
    </row>
    <row r="576" spans="10:24" ht="12.75" x14ac:dyDescent="0.2">
      <c r="J576" s="4"/>
      <c r="K576" s="79"/>
      <c r="L576" s="4"/>
      <c r="M576" s="17"/>
      <c r="N576" s="4"/>
      <c r="O576" s="4"/>
      <c r="U576" s="4"/>
      <c r="V576" s="4"/>
      <c r="W576" s="4"/>
      <c r="X576" s="4"/>
    </row>
    <row r="577" spans="10:24" ht="12.75" x14ac:dyDescent="0.2">
      <c r="J577" s="4"/>
      <c r="K577" s="79"/>
      <c r="L577" s="4"/>
      <c r="M577" s="17"/>
      <c r="N577" s="4"/>
      <c r="O577" s="4"/>
      <c r="U577" s="4"/>
      <c r="V577" s="4"/>
      <c r="W577" s="4"/>
      <c r="X577" s="4"/>
    </row>
    <row r="578" spans="10:24" ht="12.75" x14ac:dyDescent="0.2">
      <c r="J578" s="4"/>
      <c r="K578" s="79"/>
      <c r="L578" s="4"/>
      <c r="M578" s="17"/>
      <c r="N578" s="4"/>
      <c r="O578" s="4"/>
      <c r="U578" s="4"/>
      <c r="V578" s="4"/>
      <c r="W578" s="4"/>
      <c r="X578" s="4"/>
    </row>
    <row r="579" spans="10:24" ht="12.75" x14ac:dyDescent="0.2">
      <c r="J579" s="4"/>
      <c r="K579" s="79"/>
      <c r="L579" s="4"/>
      <c r="M579" s="17"/>
      <c r="N579" s="4"/>
      <c r="O579" s="4"/>
      <c r="U579" s="4"/>
      <c r="V579" s="4"/>
      <c r="W579" s="4"/>
      <c r="X579" s="4"/>
    </row>
    <row r="580" spans="10:24" ht="12.75" x14ac:dyDescent="0.2">
      <c r="J580" s="4"/>
      <c r="K580" s="79"/>
      <c r="L580" s="4"/>
      <c r="M580" s="17"/>
      <c r="N580" s="4"/>
      <c r="O580" s="4"/>
      <c r="U580" s="4"/>
      <c r="V580" s="4"/>
      <c r="W580" s="4"/>
      <c r="X580" s="4"/>
    </row>
    <row r="581" spans="10:24" ht="12.75" x14ac:dyDescent="0.2">
      <c r="J581" s="4"/>
      <c r="K581" s="79"/>
      <c r="L581" s="4"/>
      <c r="M581" s="17"/>
      <c r="N581" s="4"/>
      <c r="O581" s="4"/>
      <c r="U581" s="4"/>
      <c r="V581" s="4"/>
      <c r="W581" s="4"/>
      <c r="X581" s="4"/>
    </row>
    <row r="582" spans="10:24" ht="12.75" x14ac:dyDescent="0.2">
      <c r="J582" s="4"/>
      <c r="K582" s="79"/>
      <c r="L582" s="4"/>
      <c r="M582" s="17"/>
      <c r="N582" s="4"/>
      <c r="O582" s="4"/>
      <c r="U582" s="4"/>
      <c r="V582" s="4"/>
      <c r="W582" s="4"/>
      <c r="X582" s="4"/>
    </row>
    <row r="583" spans="10:24" ht="12.75" x14ac:dyDescent="0.2">
      <c r="J583" s="4"/>
      <c r="K583" s="79"/>
      <c r="L583" s="4"/>
      <c r="M583" s="17"/>
      <c r="N583" s="4"/>
      <c r="O583" s="4"/>
      <c r="U583" s="4"/>
      <c r="V583" s="4"/>
      <c r="W583" s="4"/>
      <c r="X583" s="4"/>
    </row>
    <row r="584" spans="10:24" ht="12.75" x14ac:dyDescent="0.2">
      <c r="J584" s="4"/>
      <c r="K584" s="79"/>
      <c r="L584" s="4"/>
      <c r="M584" s="17"/>
      <c r="N584" s="4"/>
      <c r="O584" s="4"/>
      <c r="U584" s="4"/>
      <c r="V584" s="4"/>
      <c r="W584" s="4"/>
      <c r="X584" s="4"/>
    </row>
    <row r="585" spans="10:24" ht="12.75" x14ac:dyDescent="0.2">
      <c r="J585" s="4"/>
      <c r="K585" s="79"/>
      <c r="L585" s="4"/>
      <c r="M585" s="17"/>
      <c r="N585" s="4"/>
      <c r="O585" s="4"/>
      <c r="U585" s="4"/>
      <c r="V585" s="4"/>
      <c r="W585" s="4"/>
      <c r="X585" s="4"/>
    </row>
    <row r="586" spans="10:24" ht="12.75" x14ac:dyDescent="0.2">
      <c r="J586" s="4"/>
      <c r="K586" s="79"/>
      <c r="L586" s="4"/>
      <c r="M586" s="17"/>
      <c r="N586" s="4"/>
      <c r="O586" s="4"/>
      <c r="U586" s="4"/>
      <c r="V586" s="4"/>
      <c r="W586" s="4"/>
      <c r="X586" s="4"/>
    </row>
    <row r="587" spans="10:24" ht="12.75" x14ac:dyDescent="0.2">
      <c r="J587" s="4"/>
      <c r="K587" s="79"/>
      <c r="L587" s="4"/>
      <c r="M587" s="17"/>
      <c r="N587" s="4"/>
      <c r="O587" s="4"/>
      <c r="U587" s="4"/>
      <c r="V587" s="4"/>
      <c r="W587" s="4"/>
      <c r="X587" s="4"/>
    </row>
    <row r="588" spans="10:24" ht="12.75" x14ac:dyDescent="0.2">
      <c r="J588" s="4"/>
      <c r="K588" s="79"/>
      <c r="L588" s="4"/>
      <c r="M588" s="17"/>
      <c r="N588" s="4"/>
      <c r="O588" s="4"/>
      <c r="U588" s="4"/>
      <c r="V588" s="4"/>
      <c r="W588" s="4"/>
      <c r="X588" s="4"/>
    </row>
    <row r="589" spans="10:24" ht="12.75" x14ac:dyDescent="0.2">
      <c r="J589" s="4"/>
      <c r="K589" s="79"/>
      <c r="L589" s="4"/>
      <c r="M589" s="17"/>
      <c r="N589" s="4"/>
      <c r="O589" s="4"/>
      <c r="U589" s="4"/>
      <c r="V589" s="4"/>
      <c r="W589" s="4"/>
      <c r="X589" s="4"/>
    </row>
    <row r="590" spans="10:24" ht="12.75" x14ac:dyDescent="0.2">
      <c r="J590" s="4"/>
      <c r="K590" s="79"/>
      <c r="L590" s="4"/>
      <c r="M590" s="17"/>
      <c r="N590" s="4"/>
      <c r="O590" s="4"/>
      <c r="U590" s="4"/>
      <c r="V590" s="4"/>
      <c r="W590" s="4"/>
      <c r="X590" s="4"/>
    </row>
    <row r="591" spans="10:24" ht="12.75" x14ac:dyDescent="0.2">
      <c r="J591" s="4"/>
      <c r="K591" s="79"/>
      <c r="L591" s="4"/>
      <c r="M591" s="17"/>
      <c r="N591" s="4"/>
      <c r="O591" s="4"/>
      <c r="U591" s="4"/>
      <c r="V591" s="4"/>
      <c r="W591" s="4"/>
      <c r="X591" s="4"/>
    </row>
    <row r="592" spans="10:24" ht="12.75" x14ac:dyDescent="0.2">
      <c r="J592" s="4"/>
      <c r="K592" s="79"/>
      <c r="L592" s="4"/>
      <c r="M592" s="17"/>
      <c r="N592" s="4"/>
      <c r="O592" s="4"/>
      <c r="U592" s="4"/>
      <c r="V592" s="4"/>
      <c r="W592" s="4"/>
      <c r="X592" s="4"/>
    </row>
    <row r="593" spans="10:24" ht="12.75" x14ac:dyDescent="0.2">
      <c r="J593" s="4"/>
      <c r="K593" s="79"/>
      <c r="L593" s="4"/>
      <c r="M593" s="17"/>
      <c r="N593" s="4"/>
      <c r="O593" s="4"/>
      <c r="U593" s="4"/>
      <c r="V593" s="4"/>
      <c r="W593" s="4"/>
      <c r="X593" s="4"/>
    </row>
    <row r="594" spans="10:24" ht="12.75" x14ac:dyDescent="0.2">
      <c r="J594" s="4"/>
      <c r="K594" s="79"/>
      <c r="L594" s="4"/>
      <c r="M594" s="17"/>
      <c r="N594" s="4"/>
      <c r="O594" s="4"/>
      <c r="U594" s="4"/>
      <c r="V594" s="4"/>
      <c r="W594" s="4"/>
      <c r="X594" s="4"/>
    </row>
    <row r="595" spans="10:24" ht="12.75" x14ac:dyDescent="0.2">
      <c r="J595" s="4"/>
      <c r="K595" s="79"/>
      <c r="L595" s="4"/>
      <c r="M595" s="17"/>
      <c r="N595" s="4"/>
      <c r="O595" s="4"/>
      <c r="U595" s="4"/>
      <c r="V595" s="4"/>
      <c r="W595" s="4"/>
      <c r="X595" s="4"/>
    </row>
    <row r="596" spans="10:24" ht="12.75" x14ac:dyDescent="0.2">
      <c r="J596" s="4"/>
      <c r="K596" s="79"/>
      <c r="L596" s="4"/>
      <c r="M596" s="17"/>
      <c r="N596" s="4"/>
      <c r="O596" s="4"/>
      <c r="U596" s="4"/>
      <c r="V596" s="4"/>
      <c r="W596" s="4"/>
      <c r="X596" s="4"/>
    </row>
    <row r="597" spans="10:24" ht="12.75" x14ac:dyDescent="0.2">
      <c r="J597" s="4"/>
      <c r="K597" s="79"/>
      <c r="L597" s="4"/>
      <c r="M597" s="17"/>
      <c r="N597" s="4"/>
      <c r="O597" s="4"/>
      <c r="U597" s="4"/>
      <c r="V597" s="4"/>
      <c r="W597" s="4"/>
      <c r="X597" s="4"/>
    </row>
    <row r="598" spans="10:24" ht="12.75" x14ac:dyDescent="0.2">
      <c r="J598" s="4"/>
      <c r="K598" s="79"/>
      <c r="L598" s="4"/>
      <c r="M598" s="17"/>
      <c r="N598" s="4"/>
      <c r="O598" s="4"/>
      <c r="U598" s="4"/>
      <c r="V598" s="4"/>
      <c r="W598" s="4"/>
      <c r="X598" s="4"/>
    </row>
    <row r="599" spans="10:24" ht="12.75" x14ac:dyDescent="0.2">
      <c r="J599" s="4"/>
      <c r="K599" s="79"/>
      <c r="L599" s="4"/>
      <c r="M599" s="17"/>
      <c r="N599" s="4"/>
      <c r="O599" s="4"/>
      <c r="U599" s="4"/>
      <c r="V599" s="4"/>
      <c r="W599" s="4"/>
      <c r="X599" s="4"/>
    </row>
    <row r="600" spans="10:24" ht="12.75" x14ac:dyDescent="0.2">
      <c r="J600" s="4"/>
      <c r="K600" s="79"/>
      <c r="L600" s="4"/>
      <c r="M600" s="17"/>
      <c r="N600" s="4"/>
      <c r="O600" s="4"/>
      <c r="U600" s="4"/>
      <c r="V600" s="4"/>
      <c r="W600" s="4"/>
      <c r="X600" s="4"/>
    </row>
    <row r="601" spans="10:24" ht="12.75" x14ac:dyDescent="0.2">
      <c r="J601" s="4"/>
      <c r="K601" s="79"/>
      <c r="L601" s="4"/>
      <c r="M601" s="17"/>
      <c r="N601" s="4"/>
      <c r="O601" s="4"/>
      <c r="U601" s="4"/>
      <c r="V601" s="4"/>
      <c r="W601" s="4"/>
      <c r="X601" s="4"/>
    </row>
    <row r="602" spans="10:24" ht="12.75" x14ac:dyDescent="0.2">
      <c r="J602" s="4"/>
      <c r="K602" s="79"/>
      <c r="L602" s="4"/>
      <c r="M602" s="17"/>
      <c r="N602" s="4"/>
      <c r="O602" s="4"/>
      <c r="U602" s="4"/>
      <c r="V602" s="4"/>
      <c r="W602" s="4"/>
      <c r="X602" s="4"/>
    </row>
    <row r="603" spans="10:24" ht="12.75" x14ac:dyDescent="0.2">
      <c r="J603" s="4"/>
      <c r="K603" s="79"/>
      <c r="L603" s="4"/>
      <c r="M603" s="17"/>
      <c r="N603" s="4"/>
      <c r="O603" s="4"/>
      <c r="U603" s="4"/>
      <c r="V603" s="4"/>
      <c r="W603" s="4"/>
      <c r="X603" s="4"/>
    </row>
    <row r="604" spans="10:24" ht="12.75" x14ac:dyDescent="0.2">
      <c r="J604" s="4"/>
      <c r="K604" s="79"/>
      <c r="L604" s="4"/>
      <c r="M604" s="17"/>
      <c r="N604" s="4"/>
      <c r="O604" s="4"/>
      <c r="U604" s="4"/>
      <c r="V604" s="4"/>
      <c r="W604" s="4"/>
      <c r="X604" s="4"/>
    </row>
    <row r="605" spans="10:24" ht="12.75" x14ac:dyDescent="0.2">
      <c r="J605" s="4"/>
      <c r="K605" s="79"/>
      <c r="L605" s="4"/>
      <c r="M605" s="17"/>
      <c r="N605" s="4"/>
      <c r="O605" s="4"/>
      <c r="U605" s="4"/>
      <c r="V605" s="4"/>
      <c r="W605" s="4"/>
      <c r="X605" s="4"/>
    </row>
    <row r="606" spans="10:24" ht="12.75" x14ac:dyDescent="0.2">
      <c r="J606" s="4"/>
      <c r="K606" s="79"/>
      <c r="L606" s="4"/>
      <c r="M606" s="17"/>
      <c r="N606" s="4"/>
      <c r="O606" s="4"/>
      <c r="U606" s="4"/>
      <c r="V606" s="4"/>
      <c r="W606" s="4"/>
      <c r="X606" s="4"/>
    </row>
    <row r="607" spans="10:24" ht="12.75" x14ac:dyDescent="0.2">
      <c r="J607" s="4"/>
      <c r="K607" s="79"/>
      <c r="L607" s="4"/>
      <c r="M607" s="17"/>
      <c r="N607" s="4"/>
      <c r="O607" s="4"/>
      <c r="U607" s="4"/>
      <c r="V607" s="4"/>
      <c r="W607" s="4"/>
      <c r="X607" s="4"/>
    </row>
    <row r="608" spans="10:24" ht="12.75" x14ac:dyDescent="0.2">
      <c r="J608" s="4"/>
      <c r="K608" s="79"/>
      <c r="L608" s="4"/>
      <c r="M608" s="17"/>
      <c r="N608" s="4"/>
      <c r="O608" s="4"/>
      <c r="U608" s="4"/>
      <c r="V608" s="4"/>
      <c r="W608" s="4"/>
      <c r="X608" s="4"/>
    </row>
    <row r="609" spans="10:24" ht="12.75" x14ac:dyDescent="0.2">
      <c r="J609" s="4"/>
      <c r="K609" s="79"/>
      <c r="L609" s="4"/>
      <c r="M609" s="17"/>
      <c r="N609" s="4"/>
      <c r="O609" s="4"/>
      <c r="U609" s="4"/>
      <c r="V609" s="4"/>
      <c r="W609" s="4"/>
      <c r="X609" s="4"/>
    </row>
    <row r="610" spans="10:24" ht="12.75" x14ac:dyDescent="0.2">
      <c r="J610" s="4"/>
      <c r="K610" s="79"/>
      <c r="L610" s="4"/>
      <c r="M610" s="17"/>
      <c r="N610" s="4"/>
      <c r="O610" s="4"/>
      <c r="U610" s="4"/>
      <c r="V610" s="4"/>
      <c r="W610" s="4"/>
      <c r="X610" s="4"/>
    </row>
    <row r="611" spans="10:24" ht="12.75" x14ac:dyDescent="0.2">
      <c r="J611" s="4"/>
      <c r="K611" s="79"/>
      <c r="L611" s="4"/>
      <c r="M611" s="17"/>
      <c r="N611" s="4"/>
      <c r="O611" s="4"/>
      <c r="U611" s="4"/>
      <c r="V611" s="4"/>
      <c r="W611" s="4"/>
      <c r="X611" s="4"/>
    </row>
    <row r="612" spans="10:24" ht="12.75" x14ac:dyDescent="0.2">
      <c r="J612" s="4"/>
      <c r="K612" s="79"/>
      <c r="L612" s="4"/>
      <c r="M612" s="17"/>
      <c r="N612" s="4"/>
      <c r="O612" s="4"/>
      <c r="U612" s="4"/>
      <c r="V612" s="4"/>
      <c r="W612" s="4"/>
      <c r="X612" s="4"/>
    </row>
    <row r="613" spans="10:24" ht="12.75" x14ac:dyDescent="0.2">
      <c r="J613" s="4"/>
      <c r="K613" s="79"/>
      <c r="L613" s="4"/>
      <c r="M613" s="17"/>
      <c r="N613" s="4"/>
      <c r="O613" s="4"/>
      <c r="U613" s="4"/>
      <c r="V613" s="4"/>
      <c r="W613" s="4"/>
      <c r="X613" s="4"/>
    </row>
    <row r="614" spans="10:24" ht="12.75" x14ac:dyDescent="0.2">
      <c r="J614" s="4"/>
      <c r="K614" s="79"/>
      <c r="L614" s="4"/>
      <c r="M614" s="17"/>
      <c r="N614" s="4"/>
      <c r="O614" s="4"/>
      <c r="U614" s="4"/>
      <c r="V614" s="4"/>
      <c r="W614" s="4"/>
      <c r="X614" s="4"/>
    </row>
    <row r="615" spans="10:24" ht="12.75" x14ac:dyDescent="0.2">
      <c r="J615" s="4"/>
      <c r="K615" s="79"/>
      <c r="L615" s="4"/>
      <c r="M615" s="17"/>
      <c r="N615" s="4"/>
      <c r="O615" s="4"/>
      <c r="U615" s="4"/>
      <c r="V615" s="4"/>
      <c r="W615" s="4"/>
      <c r="X615" s="4"/>
    </row>
    <row r="616" spans="10:24" ht="12.75" x14ac:dyDescent="0.2">
      <c r="J616" s="4"/>
      <c r="K616" s="79"/>
      <c r="L616" s="4"/>
      <c r="M616" s="17"/>
      <c r="N616" s="4"/>
      <c r="O616" s="4"/>
      <c r="U616" s="4"/>
      <c r="V616" s="4"/>
      <c r="W616" s="4"/>
      <c r="X616" s="4"/>
    </row>
    <row r="617" spans="10:24" ht="12.75" x14ac:dyDescent="0.2">
      <c r="J617" s="4"/>
      <c r="K617" s="79"/>
      <c r="L617" s="4"/>
      <c r="M617" s="17"/>
      <c r="N617" s="4"/>
      <c r="O617" s="4"/>
      <c r="U617" s="4"/>
      <c r="V617" s="4"/>
      <c r="W617" s="4"/>
      <c r="X617" s="4"/>
    </row>
    <row r="618" spans="10:24" ht="12.75" x14ac:dyDescent="0.2">
      <c r="J618" s="4"/>
      <c r="K618" s="79"/>
      <c r="L618" s="4"/>
      <c r="M618" s="17"/>
      <c r="N618" s="4"/>
      <c r="O618" s="4"/>
      <c r="U618" s="4"/>
      <c r="V618" s="4"/>
      <c r="W618" s="4"/>
      <c r="X618" s="4"/>
    </row>
    <row r="619" spans="10:24" ht="12.75" x14ac:dyDescent="0.2">
      <c r="J619" s="4"/>
      <c r="K619" s="79"/>
      <c r="L619" s="4"/>
      <c r="M619" s="17"/>
      <c r="N619" s="4"/>
      <c r="O619" s="4"/>
      <c r="U619" s="4"/>
      <c r="V619" s="4"/>
      <c r="W619" s="4"/>
      <c r="X619" s="4"/>
    </row>
    <row r="620" spans="10:24" ht="12.75" x14ac:dyDescent="0.2">
      <c r="J620" s="4"/>
      <c r="K620" s="79"/>
      <c r="L620" s="4"/>
      <c r="M620" s="17"/>
      <c r="N620" s="4"/>
      <c r="O620" s="4"/>
      <c r="U620" s="4"/>
      <c r="V620" s="4"/>
      <c r="W620" s="4"/>
      <c r="X620" s="4"/>
    </row>
    <row r="621" spans="10:24" ht="12.75" x14ac:dyDescent="0.2">
      <c r="J621" s="4"/>
      <c r="K621" s="79"/>
      <c r="L621" s="4"/>
      <c r="M621" s="17"/>
      <c r="N621" s="4"/>
      <c r="O621" s="4"/>
      <c r="U621" s="4"/>
      <c r="V621" s="4"/>
      <c r="W621" s="4"/>
      <c r="X621" s="4"/>
    </row>
    <row r="622" spans="10:24" ht="12.75" x14ac:dyDescent="0.2">
      <c r="J622" s="4"/>
      <c r="K622" s="79"/>
      <c r="L622" s="4"/>
      <c r="M622" s="17"/>
      <c r="N622" s="4"/>
      <c r="O622" s="4"/>
      <c r="U622" s="4"/>
      <c r="V622" s="4"/>
      <c r="W622" s="4"/>
      <c r="X622" s="4"/>
    </row>
    <row r="623" spans="10:24" ht="12.75" x14ac:dyDescent="0.2">
      <c r="J623" s="4"/>
      <c r="K623" s="79"/>
      <c r="L623" s="4"/>
      <c r="M623" s="17"/>
      <c r="N623" s="4"/>
      <c r="O623" s="4"/>
      <c r="U623" s="4"/>
      <c r="V623" s="4"/>
      <c r="W623" s="4"/>
      <c r="X623" s="4"/>
    </row>
    <row r="624" spans="10:24" ht="12.75" x14ac:dyDescent="0.2">
      <c r="J624" s="4"/>
      <c r="K624" s="79"/>
      <c r="L624" s="4"/>
      <c r="M624" s="17"/>
      <c r="N624" s="4"/>
      <c r="O624" s="4"/>
      <c r="U624" s="4"/>
      <c r="V624" s="4"/>
      <c r="W624" s="4"/>
      <c r="X624" s="4"/>
    </row>
    <row r="625" spans="10:24" ht="12.75" x14ac:dyDescent="0.2">
      <c r="J625" s="4"/>
      <c r="K625" s="79"/>
      <c r="L625" s="4"/>
      <c r="M625" s="17"/>
      <c r="N625" s="4"/>
      <c r="O625" s="4"/>
      <c r="U625" s="4"/>
      <c r="V625" s="4"/>
      <c r="W625" s="4"/>
      <c r="X625" s="4"/>
    </row>
    <row r="626" spans="10:24" ht="12.75" x14ac:dyDescent="0.2">
      <c r="J626" s="4"/>
      <c r="K626" s="79"/>
      <c r="L626" s="4"/>
      <c r="M626" s="17"/>
      <c r="N626" s="4"/>
      <c r="O626" s="4"/>
      <c r="U626" s="4"/>
      <c r="V626" s="4"/>
      <c r="W626" s="4"/>
      <c r="X626" s="4"/>
    </row>
    <row r="627" spans="10:24" ht="12.75" x14ac:dyDescent="0.2">
      <c r="J627" s="4"/>
      <c r="K627" s="79"/>
      <c r="L627" s="4"/>
      <c r="M627" s="17"/>
      <c r="N627" s="4"/>
      <c r="O627" s="4"/>
      <c r="U627" s="4"/>
      <c r="V627" s="4"/>
      <c r="W627" s="4"/>
      <c r="X627" s="4"/>
    </row>
    <row r="628" spans="10:24" ht="12.75" x14ac:dyDescent="0.2">
      <c r="J628" s="4"/>
      <c r="K628" s="79"/>
      <c r="L628" s="4"/>
      <c r="M628" s="17"/>
      <c r="N628" s="4"/>
      <c r="O628" s="4"/>
      <c r="U628" s="4"/>
      <c r="V628" s="4"/>
      <c r="W628" s="4"/>
      <c r="X628" s="4"/>
    </row>
    <row r="629" spans="10:24" ht="12.75" x14ac:dyDescent="0.2">
      <c r="J629" s="4"/>
      <c r="K629" s="79"/>
      <c r="L629" s="4"/>
      <c r="M629" s="17"/>
      <c r="N629" s="4"/>
      <c r="O629" s="4"/>
      <c r="U629" s="4"/>
      <c r="V629" s="4"/>
      <c r="W629" s="4"/>
      <c r="X629" s="4"/>
    </row>
    <row r="630" spans="10:24" ht="12.75" x14ac:dyDescent="0.2">
      <c r="J630" s="4"/>
      <c r="K630" s="79"/>
      <c r="L630" s="4"/>
      <c r="M630" s="17"/>
      <c r="N630" s="4"/>
      <c r="O630" s="4"/>
      <c r="U630" s="4"/>
      <c r="V630" s="4"/>
      <c r="W630" s="4"/>
      <c r="X630" s="4"/>
    </row>
    <row r="631" spans="10:24" ht="12.75" x14ac:dyDescent="0.2">
      <c r="J631" s="4"/>
      <c r="K631" s="79"/>
      <c r="L631" s="4"/>
      <c r="M631" s="17"/>
      <c r="N631" s="4"/>
      <c r="O631" s="4"/>
      <c r="U631" s="4"/>
      <c r="V631" s="4"/>
      <c r="W631" s="4"/>
      <c r="X631" s="4"/>
    </row>
    <row r="632" spans="10:24" ht="12.75" x14ac:dyDescent="0.2">
      <c r="J632" s="4"/>
      <c r="K632" s="79"/>
      <c r="L632" s="4"/>
      <c r="M632" s="17"/>
      <c r="N632" s="4"/>
      <c r="O632" s="4"/>
      <c r="U632" s="4"/>
      <c r="V632" s="4"/>
      <c r="W632" s="4"/>
      <c r="X632" s="4"/>
    </row>
    <row r="633" spans="10:24" ht="12.75" x14ac:dyDescent="0.2">
      <c r="J633" s="4"/>
      <c r="K633" s="79"/>
      <c r="L633" s="4"/>
      <c r="M633" s="17"/>
      <c r="N633" s="4"/>
      <c r="O633" s="4"/>
      <c r="U633" s="4"/>
      <c r="V633" s="4"/>
      <c r="W633" s="4"/>
      <c r="X633" s="4"/>
    </row>
    <row r="634" spans="10:24" ht="12.75" x14ac:dyDescent="0.2">
      <c r="J634" s="4"/>
      <c r="K634" s="79"/>
      <c r="L634" s="4"/>
      <c r="M634" s="17"/>
      <c r="N634" s="4"/>
      <c r="O634" s="4"/>
      <c r="U634" s="4"/>
      <c r="V634" s="4"/>
      <c r="W634" s="4"/>
      <c r="X634" s="4"/>
    </row>
    <row r="635" spans="10:24" ht="12.75" x14ac:dyDescent="0.2">
      <c r="J635" s="4"/>
      <c r="K635" s="79"/>
      <c r="L635" s="4"/>
      <c r="M635" s="17"/>
      <c r="N635" s="4"/>
      <c r="O635" s="4"/>
      <c r="U635" s="4"/>
      <c r="V635" s="4"/>
      <c r="W635" s="4"/>
      <c r="X635" s="4"/>
    </row>
    <row r="636" spans="10:24" ht="12.75" x14ac:dyDescent="0.2">
      <c r="J636" s="4"/>
      <c r="K636" s="79"/>
      <c r="L636" s="4"/>
      <c r="M636" s="17"/>
      <c r="N636" s="4"/>
      <c r="O636" s="4"/>
      <c r="U636" s="4"/>
      <c r="V636" s="4"/>
      <c r="W636" s="4"/>
      <c r="X636" s="4"/>
    </row>
    <row r="637" spans="10:24" ht="12.75" x14ac:dyDescent="0.2">
      <c r="J637" s="4"/>
      <c r="K637" s="79"/>
      <c r="L637" s="4"/>
      <c r="M637" s="17"/>
      <c r="N637" s="4"/>
      <c r="O637" s="4"/>
      <c r="U637" s="4"/>
      <c r="V637" s="4"/>
      <c r="W637" s="4"/>
      <c r="X637" s="4"/>
    </row>
    <row r="638" spans="10:24" ht="12.75" x14ac:dyDescent="0.2">
      <c r="J638" s="4"/>
      <c r="K638" s="79"/>
      <c r="L638" s="4"/>
      <c r="M638" s="17"/>
      <c r="N638" s="4"/>
      <c r="O638" s="4"/>
      <c r="U638" s="4"/>
      <c r="V638" s="4"/>
      <c r="W638" s="4"/>
      <c r="X638" s="4"/>
    </row>
    <row r="639" spans="10:24" ht="12.75" x14ac:dyDescent="0.2">
      <c r="J639" s="4"/>
      <c r="K639" s="79"/>
      <c r="L639" s="4"/>
      <c r="M639" s="17"/>
      <c r="N639" s="4"/>
      <c r="O639" s="4"/>
      <c r="U639" s="4"/>
      <c r="V639" s="4"/>
      <c r="W639" s="4"/>
      <c r="X639" s="4"/>
    </row>
    <row r="640" spans="10:24" ht="12.75" x14ac:dyDescent="0.2">
      <c r="J640" s="4"/>
      <c r="K640" s="79"/>
      <c r="L640" s="4"/>
      <c r="M640" s="17"/>
      <c r="N640" s="4"/>
      <c r="O640" s="4"/>
      <c r="U640" s="4"/>
      <c r="V640" s="4"/>
      <c r="W640" s="4"/>
      <c r="X640" s="4"/>
    </row>
    <row r="641" spans="10:24" ht="12.75" x14ac:dyDescent="0.2">
      <c r="J641" s="4"/>
      <c r="K641" s="79"/>
      <c r="L641" s="4"/>
      <c r="M641" s="17"/>
      <c r="N641" s="4"/>
      <c r="O641" s="4"/>
      <c r="U641" s="4"/>
      <c r="V641" s="4"/>
      <c r="W641" s="4"/>
      <c r="X641" s="4"/>
    </row>
    <row r="642" spans="10:24" ht="12.75" x14ac:dyDescent="0.2">
      <c r="J642" s="4"/>
      <c r="K642" s="79"/>
      <c r="L642" s="4"/>
      <c r="M642" s="17"/>
      <c r="N642" s="4"/>
      <c r="O642" s="4"/>
      <c r="U642" s="4"/>
      <c r="V642" s="4"/>
      <c r="W642" s="4"/>
      <c r="X642" s="4"/>
    </row>
    <row r="643" spans="10:24" ht="12.75" x14ac:dyDescent="0.2">
      <c r="J643" s="4"/>
      <c r="K643" s="79"/>
      <c r="L643" s="4"/>
      <c r="M643" s="17"/>
      <c r="N643" s="4"/>
      <c r="O643" s="4"/>
      <c r="U643" s="4"/>
      <c r="V643" s="4"/>
      <c r="W643" s="4"/>
      <c r="X643" s="4"/>
    </row>
    <row r="644" spans="10:24" ht="12.75" x14ac:dyDescent="0.2">
      <c r="J644" s="4"/>
      <c r="K644" s="79"/>
      <c r="L644" s="4"/>
      <c r="M644" s="17"/>
      <c r="N644" s="4"/>
      <c r="O644" s="4"/>
      <c r="U644" s="4"/>
      <c r="V644" s="4"/>
      <c r="W644" s="4"/>
      <c r="X644" s="4"/>
    </row>
    <row r="645" spans="10:24" ht="12.75" x14ac:dyDescent="0.2">
      <c r="J645" s="4"/>
      <c r="K645" s="79"/>
      <c r="L645" s="4"/>
      <c r="M645" s="17"/>
      <c r="N645" s="4"/>
      <c r="O645" s="4"/>
      <c r="U645" s="4"/>
      <c r="V645" s="4"/>
      <c r="W645" s="4"/>
      <c r="X645" s="4"/>
    </row>
    <row r="646" spans="10:24" ht="12.75" x14ac:dyDescent="0.2">
      <c r="J646" s="4"/>
      <c r="K646" s="79"/>
      <c r="L646" s="4"/>
      <c r="M646" s="17"/>
      <c r="N646" s="4"/>
      <c r="O646" s="4"/>
      <c r="U646" s="4"/>
      <c r="V646" s="4"/>
      <c r="W646" s="4"/>
      <c r="X646" s="4"/>
    </row>
    <row r="647" spans="10:24" ht="12.75" x14ac:dyDescent="0.2">
      <c r="J647" s="4"/>
      <c r="K647" s="79"/>
      <c r="L647" s="4"/>
      <c r="M647" s="17"/>
      <c r="N647" s="4"/>
      <c r="O647" s="4"/>
      <c r="U647" s="4"/>
      <c r="V647" s="4"/>
      <c r="W647" s="4"/>
      <c r="X647" s="4"/>
    </row>
    <row r="648" spans="10:24" ht="12.75" x14ac:dyDescent="0.2">
      <c r="J648" s="4"/>
      <c r="K648" s="79"/>
      <c r="L648" s="4"/>
      <c r="M648" s="17"/>
      <c r="N648" s="4"/>
      <c r="O648" s="4"/>
      <c r="U648" s="4"/>
      <c r="V648" s="4"/>
      <c r="W648" s="4"/>
      <c r="X648" s="4"/>
    </row>
    <row r="649" spans="10:24" ht="12.75" x14ac:dyDescent="0.2">
      <c r="J649" s="4"/>
      <c r="K649" s="79"/>
      <c r="L649" s="4"/>
      <c r="M649" s="17"/>
      <c r="N649" s="4"/>
      <c r="O649" s="4"/>
      <c r="U649" s="4"/>
      <c r="V649" s="4"/>
      <c r="W649" s="4"/>
      <c r="X649" s="4"/>
    </row>
    <row r="650" spans="10:24" ht="12.75" x14ac:dyDescent="0.2">
      <c r="J650" s="4"/>
      <c r="K650" s="79"/>
      <c r="L650" s="4"/>
      <c r="M650" s="17"/>
      <c r="N650" s="4"/>
      <c r="O650" s="4"/>
      <c r="U650" s="4"/>
      <c r="V650" s="4"/>
      <c r="W650" s="4"/>
      <c r="X650" s="4"/>
    </row>
    <row r="651" spans="10:24" ht="12.75" x14ac:dyDescent="0.2">
      <c r="J651" s="4"/>
      <c r="K651" s="79"/>
      <c r="L651" s="4"/>
      <c r="M651" s="17"/>
      <c r="N651" s="4"/>
      <c r="O651" s="4"/>
      <c r="U651" s="4"/>
      <c r="V651" s="4"/>
      <c r="W651" s="4"/>
      <c r="X651" s="4"/>
    </row>
    <row r="652" spans="10:24" ht="12.75" x14ac:dyDescent="0.2">
      <c r="J652" s="4"/>
      <c r="K652" s="79"/>
      <c r="L652" s="4"/>
      <c r="M652" s="17"/>
      <c r="N652" s="4"/>
      <c r="O652" s="4"/>
      <c r="U652" s="4"/>
      <c r="V652" s="4"/>
      <c r="W652" s="4"/>
      <c r="X652" s="4"/>
    </row>
    <row r="653" spans="10:24" ht="12.75" x14ac:dyDescent="0.2">
      <c r="J653" s="4"/>
      <c r="K653" s="79"/>
      <c r="L653" s="4"/>
      <c r="M653" s="17"/>
      <c r="N653" s="4"/>
      <c r="O653" s="4"/>
      <c r="U653" s="4"/>
      <c r="V653" s="4"/>
      <c r="W653" s="4"/>
      <c r="X653" s="4"/>
    </row>
    <row r="654" spans="10:24" ht="12.75" x14ac:dyDescent="0.2">
      <c r="J654" s="4"/>
      <c r="K654" s="79"/>
      <c r="L654" s="4"/>
      <c r="M654" s="17"/>
      <c r="N654" s="4"/>
      <c r="O654" s="4"/>
      <c r="U654" s="4"/>
      <c r="V654" s="4"/>
      <c r="W654" s="4"/>
      <c r="X654" s="4"/>
    </row>
    <row r="655" spans="10:24" ht="12.75" x14ac:dyDescent="0.2">
      <c r="J655" s="4"/>
      <c r="K655" s="79"/>
      <c r="L655" s="4"/>
      <c r="M655" s="17"/>
      <c r="N655" s="4"/>
      <c r="O655" s="4"/>
      <c r="U655" s="4"/>
      <c r="V655" s="4"/>
      <c r="W655" s="4"/>
      <c r="X655" s="4"/>
    </row>
    <row r="656" spans="10:24" ht="12.75" x14ac:dyDescent="0.2">
      <c r="J656" s="4"/>
      <c r="K656" s="79"/>
      <c r="L656" s="4"/>
      <c r="M656" s="17"/>
      <c r="N656" s="4"/>
      <c r="O656" s="4"/>
      <c r="U656" s="4"/>
      <c r="V656" s="4"/>
      <c r="W656" s="4"/>
      <c r="X656" s="4"/>
    </row>
    <row r="657" spans="10:24" ht="12.75" x14ac:dyDescent="0.2">
      <c r="J657" s="4"/>
      <c r="K657" s="79"/>
      <c r="L657" s="4"/>
      <c r="M657" s="17"/>
      <c r="N657" s="4"/>
      <c r="O657" s="4"/>
      <c r="U657" s="4"/>
      <c r="V657" s="4"/>
      <c r="W657" s="4"/>
      <c r="X657" s="4"/>
    </row>
    <row r="658" spans="10:24" ht="12.75" x14ac:dyDescent="0.2">
      <c r="J658" s="4"/>
      <c r="K658" s="79"/>
      <c r="L658" s="4"/>
      <c r="M658" s="17"/>
      <c r="N658" s="4"/>
      <c r="O658" s="4"/>
      <c r="U658" s="4"/>
      <c r="V658" s="4"/>
      <c r="W658" s="4"/>
      <c r="X658" s="4"/>
    </row>
    <row r="659" spans="10:24" ht="12.75" x14ac:dyDescent="0.2">
      <c r="J659" s="4"/>
      <c r="K659" s="79"/>
      <c r="L659" s="4"/>
      <c r="M659" s="17"/>
      <c r="N659" s="4"/>
      <c r="O659" s="4"/>
      <c r="U659" s="4"/>
      <c r="V659" s="4"/>
      <c r="W659" s="4"/>
      <c r="X659" s="4"/>
    </row>
    <row r="660" spans="10:24" ht="12.75" x14ac:dyDescent="0.2">
      <c r="J660" s="4"/>
      <c r="K660" s="79"/>
      <c r="L660" s="4"/>
      <c r="M660" s="17"/>
      <c r="N660" s="4"/>
      <c r="O660" s="4"/>
      <c r="U660" s="4"/>
      <c r="V660" s="4"/>
      <c r="W660" s="4"/>
      <c r="X660" s="4"/>
    </row>
    <row r="661" spans="10:24" ht="12.75" x14ac:dyDescent="0.2">
      <c r="J661" s="4"/>
      <c r="K661" s="79"/>
      <c r="L661" s="4"/>
      <c r="M661" s="17"/>
      <c r="N661" s="4"/>
      <c r="O661" s="4"/>
      <c r="U661" s="4"/>
      <c r="V661" s="4"/>
      <c r="W661" s="4"/>
      <c r="X661" s="4"/>
    </row>
    <row r="662" spans="10:24" ht="12.75" x14ac:dyDescent="0.2">
      <c r="J662" s="4"/>
      <c r="K662" s="79"/>
      <c r="L662" s="4"/>
      <c r="M662" s="17"/>
      <c r="N662" s="4"/>
      <c r="O662" s="4"/>
      <c r="U662" s="4"/>
      <c r="V662" s="4"/>
      <c r="W662" s="4"/>
      <c r="X662" s="4"/>
    </row>
    <row r="663" spans="10:24" ht="12.75" x14ac:dyDescent="0.2">
      <c r="J663" s="4"/>
      <c r="K663" s="79"/>
      <c r="L663" s="4"/>
      <c r="M663" s="17"/>
      <c r="N663" s="4"/>
      <c r="O663" s="4"/>
      <c r="U663" s="4"/>
      <c r="V663" s="4"/>
      <c r="W663" s="4"/>
      <c r="X663" s="4"/>
    </row>
    <row r="664" spans="10:24" ht="12.75" x14ac:dyDescent="0.2">
      <c r="J664" s="4"/>
      <c r="K664" s="79"/>
      <c r="L664" s="4"/>
      <c r="M664" s="17"/>
      <c r="N664" s="4"/>
      <c r="O664" s="4"/>
      <c r="U664" s="4"/>
      <c r="V664" s="4"/>
      <c r="W664" s="4"/>
      <c r="X664" s="4"/>
    </row>
    <row r="665" spans="10:24" ht="12.75" x14ac:dyDescent="0.2">
      <c r="J665" s="4"/>
      <c r="K665" s="79"/>
      <c r="L665" s="4"/>
      <c r="M665" s="17"/>
      <c r="N665" s="4"/>
      <c r="O665" s="4"/>
      <c r="U665" s="4"/>
      <c r="V665" s="4"/>
      <c r="W665" s="4"/>
      <c r="X665" s="4"/>
    </row>
    <row r="666" spans="10:24" ht="12.75" x14ac:dyDescent="0.2">
      <c r="J666" s="4"/>
      <c r="K666" s="79"/>
      <c r="L666" s="4"/>
      <c r="M666" s="17"/>
      <c r="N666" s="4"/>
      <c r="O666" s="4"/>
      <c r="U666" s="4"/>
      <c r="V666" s="4"/>
      <c r="W666" s="4"/>
      <c r="X666" s="4"/>
    </row>
    <row r="667" spans="10:24" ht="12.75" x14ac:dyDescent="0.2">
      <c r="J667" s="4"/>
      <c r="K667" s="79"/>
      <c r="L667" s="4"/>
      <c r="M667" s="17"/>
      <c r="N667" s="4"/>
      <c r="O667" s="4"/>
      <c r="U667" s="4"/>
      <c r="V667" s="4"/>
      <c r="W667" s="4"/>
      <c r="X667" s="4"/>
    </row>
    <row r="668" spans="10:24" ht="12.75" x14ac:dyDescent="0.2">
      <c r="J668" s="4"/>
      <c r="K668" s="79"/>
      <c r="L668" s="4"/>
      <c r="M668" s="17"/>
      <c r="N668" s="4"/>
      <c r="O668" s="4"/>
      <c r="U668" s="4"/>
      <c r="V668" s="4"/>
      <c r="W668" s="4"/>
      <c r="X668" s="4"/>
    </row>
    <row r="669" spans="10:24" ht="12.75" x14ac:dyDescent="0.2">
      <c r="J669" s="4"/>
      <c r="K669" s="79"/>
      <c r="L669" s="4"/>
      <c r="M669" s="17"/>
      <c r="N669" s="4"/>
      <c r="O669" s="4"/>
      <c r="U669" s="4"/>
      <c r="V669" s="4"/>
      <c r="W669" s="4"/>
      <c r="X669" s="4"/>
    </row>
    <row r="670" spans="10:24" ht="12.75" x14ac:dyDescent="0.2">
      <c r="J670" s="4"/>
      <c r="K670" s="79"/>
      <c r="L670" s="4"/>
      <c r="M670" s="17"/>
      <c r="N670" s="4"/>
      <c r="O670" s="4"/>
      <c r="U670" s="4"/>
      <c r="V670" s="4"/>
      <c r="W670" s="4"/>
      <c r="X670" s="4"/>
    </row>
    <row r="671" spans="10:24" ht="12.75" x14ac:dyDescent="0.2">
      <c r="J671" s="4"/>
      <c r="K671" s="79"/>
      <c r="L671" s="4"/>
      <c r="M671" s="17"/>
      <c r="N671" s="4"/>
      <c r="O671" s="4"/>
      <c r="U671" s="4"/>
      <c r="V671" s="4"/>
      <c r="W671" s="4"/>
      <c r="X671" s="4"/>
    </row>
    <row r="672" spans="10:24" ht="12.75" x14ac:dyDescent="0.2">
      <c r="J672" s="4"/>
      <c r="K672" s="79"/>
      <c r="L672" s="4"/>
      <c r="M672" s="17"/>
      <c r="N672" s="4"/>
      <c r="O672" s="4"/>
      <c r="U672" s="4"/>
      <c r="V672" s="4"/>
      <c r="W672" s="4"/>
      <c r="X672" s="4"/>
    </row>
    <row r="673" spans="10:24" ht="12.75" x14ac:dyDescent="0.2">
      <c r="J673" s="4"/>
      <c r="K673" s="79"/>
      <c r="L673" s="4"/>
      <c r="M673" s="17"/>
      <c r="N673" s="4"/>
      <c r="O673" s="4"/>
      <c r="U673" s="4"/>
      <c r="V673" s="4"/>
      <c r="W673" s="4"/>
      <c r="X673" s="4"/>
    </row>
    <row r="674" spans="10:24" ht="12.75" x14ac:dyDescent="0.2">
      <c r="J674" s="4"/>
      <c r="K674" s="79"/>
      <c r="L674" s="4"/>
      <c r="M674" s="17"/>
      <c r="N674" s="4"/>
      <c r="O674" s="4"/>
      <c r="U674" s="4"/>
      <c r="V674" s="4"/>
      <c r="W674" s="4"/>
      <c r="X674" s="4"/>
    </row>
    <row r="675" spans="10:24" ht="12.75" x14ac:dyDescent="0.2">
      <c r="J675" s="4"/>
      <c r="K675" s="79"/>
      <c r="L675" s="4"/>
      <c r="M675" s="17"/>
      <c r="N675" s="4"/>
      <c r="O675" s="4"/>
      <c r="U675" s="4"/>
      <c r="V675" s="4"/>
      <c r="W675" s="4"/>
      <c r="X675" s="4"/>
    </row>
    <row r="676" spans="10:24" ht="12.75" x14ac:dyDescent="0.2">
      <c r="J676" s="4"/>
      <c r="K676" s="79"/>
      <c r="L676" s="4"/>
      <c r="M676" s="17"/>
      <c r="N676" s="4"/>
      <c r="O676" s="4"/>
      <c r="U676" s="4"/>
      <c r="V676" s="4"/>
      <c r="W676" s="4"/>
      <c r="X676" s="4"/>
    </row>
    <row r="677" spans="10:24" ht="12.75" x14ac:dyDescent="0.2">
      <c r="J677" s="4"/>
      <c r="K677" s="79"/>
      <c r="L677" s="4"/>
      <c r="M677" s="17"/>
      <c r="N677" s="4"/>
      <c r="O677" s="4"/>
      <c r="U677" s="4"/>
      <c r="V677" s="4"/>
      <c r="W677" s="4"/>
      <c r="X677" s="4"/>
    </row>
    <row r="678" spans="10:24" ht="12.75" x14ac:dyDescent="0.2">
      <c r="J678" s="4"/>
      <c r="K678" s="79"/>
      <c r="L678" s="4"/>
      <c r="M678" s="17"/>
      <c r="N678" s="4"/>
      <c r="O678" s="4"/>
      <c r="U678" s="4"/>
      <c r="V678" s="4"/>
      <c r="W678" s="4"/>
      <c r="X678" s="4"/>
    </row>
    <row r="679" spans="10:24" ht="12.75" x14ac:dyDescent="0.2">
      <c r="J679" s="4"/>
      <c r="K679" s="79"/>
      <c r="L679" s="4"/>
      <c r="M679" s="17"/>
      <c r="N679" s="4"/>
      <c r="O679" s="4"/>
      <c r="U679" s="4"/>
      <c r="V679" s="4"/>
      <c r="W679" s="4"/>
      <c r="X679" s="4"/>
    </row>
    <row r="680" spans="10:24" ht="12.75" x14ac:dyDescent="0.2">
      <c r="J680" s="4"/>
      <c r="K680" s="79"/>
      <c r="L680" s="4"/>
      <c r="M680" s="17"/>
      <c r="N680" s="4"/>
      <c r="O680" s="4"/>
      <c r="U680" s="4"/>
      <c r="V680" s="4"/>
      <c r="W680" s="4"/>
      <c r="X680" s="4"/>
    </row>
    <row r="681" spans="10:24" ht="12.75" x14ac:dyDescent="0.2">
      <c r="J681" s="4"/>
      <c r="K681" s="79"/>
      <c r="L681" s="4"/>
      <c r="M681" s="17"/>
      <c r="N681" s="4"/>
      <c r="O681" s="4"/>
      <c r="U681" s="4"/>
      <c r="V681" s="4"/>
      <c r="W681" s="4"/>
      <c r="X681" s="4"/>
    </row>
    <row r="682" spans="10:24" ht="12.75" x14ac:dyDescent="0.2">
      <c r="J682" s="4"/>
      <c r="K682" s="79"/>
      <c r="L682" s="4"/>
      <c r="M682" s="17"/>
      <c r="N682" s="4"/>
      <c r="O682" s="4"/>
      <c r="U682" s="4"/>
      <c r="V682" s="4"/>
      <c r="W682" s="4"/>
      <c r="X682" s="4"/>
    </row>
    <row r="683" spans="10:24" ht="12.75" x14ac:dyDescent="0.2">
      <c r="J683" s="4"/>
      <c r="K683" s="79"/>
      <c r="L683" s="4"/>
      <c r="M683" s="17"/>
      <c r="N683" s="4"/>
      <c r="O683" s="4"/>
      <c r="U683" s="4"/>
      <c r="V683" s="4"/>
      <c r="W683" s="4"/>
      <c r="X683" s="4"/>
    </row>
    <row r="684" spans="10:24" ht="12.75" x14ac:dyDescent="0.2">
      <c r="J684" s="4"/>
      <c r="K684" s="79"/>
      <c r="L684" s="4"/>
      <c r="M684" s="17"/>
      <c r="N684" s="4"/>
      <c r="O684" s="4"/>
      <c r="U684" s="4"/>
      <c r="V684" s="4"/>
      <c r="W684" s="4"/>
      <c r="X684" s="4"/>
    </row>
    <row r="685" spans="10:24" ht="12.75" x14ac:dyDescent="0.2">
      <c r="J685" s="4"/>
      <c r="K685" s="79"/>
      <c r="L685" s="4"/>
      <c r="M685" s="17"/>
      <c r="N685" s="4"/>
      <c r="O685" s="4"/>
      <c r="U685" s="4"/>
      <c r="V685" s="4"/>
      <c r="W685" s="4"/>
      <c r="X685" s="4"/>
    </row>
    <row r="686" spans="10:24" ht="12.75" x14ac:dyDescent="0.2">
      <c r="J686" s="4"/>
      <c r="K686" s="79"/>
      <c r="L686" s="4"/>
      <c r="M686" s="17"/>
      <c r="N686" s="4"/>
      <c r="O686" s="4"/>
      <c r="U686" s="4"/>
      <c r="V686" s="4"/>
      <c r="W686" s="4"/>
      <c r="X686" s="4"/>
    </row>
    <row r="687" spans="10:24" ht="12.75" x14ac:dyDescent="0.2">
      <c r="J687" s="4"/>
      <c r="K687" s="79"/>
      <c r="L687" s="4"/>
      <c r="M687" s="17"/>
      <c r="N687" s="4"/>
      <c r="O687" s="4"/>
      <c r="U687" s="4"/>
      <c r="V687" s="4"/>
      <c r="W687" s="4"/>
      <c r="X687" s="4"/>
    </row>
    <row r="688" spans="10:24" ht="12.75" x14ac:dyDescent="0.2">
      <c r="J688" s="4"/>
      <c r="K688" s="79"/>
      <c r="L688" s="4"/>
      <c r="M688" s="17"/>
      <c r="N688" s="4"/>
      <c r="O688" s="4"/>
      <c r="U688" s="4"/>
      <c r="V688" s="4"/>
      <c r="W688" s="4"/>
      <c r="X688" s="4"/>
    </row>
    <row r="689" spans="10:24" ht="12.75" x14ac:dyDescent="0.2">
      <c r="J689" s="4"/>
      <c r="K689" s="79"/>
      <c r="L689" s="4"/>
      <c r="M689" s="17"/>
      <c r="N689" s="4"/>
      <c r="O689" s="4"/>
      <c r="U689" s="4"/>
      <c r="V689" s="4"/>
      <c r="W689" s="4"/>
      <c r="X689" s="4"/>
    </row>
    <row r="690" spans="10:24" ht="12.75" x14ac:dyDescent="0.2">
      <c r="J690" s="4"/>
      <c r="K690" s="79"/>
      <c r="L690" s="4"/>
      <c r="M690" s="17"/>
      <c r="N690" s="4"/>
      <c r="O690" s="4"/>
      <c r="U690" s="4"/>
      <c r="V690" s="4"/>
      <c r="W690" s="4"/>
      <c r="X690" s="4"/>
    </row>
    <row r="691" spans="10:24" ht="12.75" x14ac:dyDescent="0.2">
      <c r="J691" s="4"/>
      <c r="K691" s="79"/>
      <c r="L691" s="4"/>
      <c r="M691" s="17"/>
      <c r="N691" s="4"/>
      <c r="O691" s="4"/>
      <c r="U691" s="4"/>
      <c r="V691" s="4"/>
      <c r="W691" s="4"/>
      <c r="X691" s="4"/>
    </row>
    <row r="692" spans="10:24" ht="12.75" x14ac:dyDescent="0.2">
      <c r="J692" s="4"/>
      <c r="K692" s="79"/>
      <c r="L692" s="4"/>
      <c r="M692" s="17"/>
      <c r="N692" s="4"/>
      <c r="O692" s="4"/>
      <c r="U692" s="4"/>
      <c r="V692" s="4"/>
      <c r="W692" s="4"/>
      <c r="X692" s="4"/>
    </row>
    <row r="693" spans="10:24" ht="12.75" x14ac:dyDescent="0.2">
      <c r="J693" s="4"/>
      <c r="K693" s="79"/>
      <c r="L693" s="4"/>
      <c r="M693" s="17"/>
      <c r="N693" s="4"/>
      <c r="O693" s="4"/>
      <c r="U693" s="4"/>
      <c r="V693" s="4"/>
      <c r="W693" s="4"/>
      <c r="X693" s="4"/>
    </row>
    <row r="694" spans="10:24" ht="12.75" x14ac:dyDescent="0.2">
      <c r="J694" s="4"/>
      <c r="K694" s="79"/>
      <c r="L694" s="4"/>
      <c r="M694" s="17"/>
      <c r="N694" s="4"/>
      <c r="O694" s="4"/>
      <c r="U694" s="4"/>
      <c r="V694" s="4"/>
      <c r="W694" s="4"/>
      <c r="X694" s="4"/>
    </row>
    <row r="695" spans="10:24" ht="12.75" x14ac:dyDescent="0.2">
      <c r="J695" s="4"/>
      <c r="K695" s="79"/>
      <c r="L695" s="4"/>
      <c r="M695" s="17"/>
      <c r="N695" s="4"/>
      <c r="O695" s="4"/>
      <c r="U695" s="4"/>
      <c r="V695" s="4"/>
      <c r="W695" s="4"/>
      <c r="X695" s="4"/>
    </row>
    <row r="696" spans="10:24" ht="12.75" x14ac:dyDescent="0.2">
      <c r="J696" s="4"/>
      <c r="K696" s="79"/>
      <c r="L696" s="4"/>
      <c r="M696" s="17"/>
      <c r="N696" s="4"/>
      <c r="O696" s="4"/>
      <c r="U696" s="4"/>
      <c r="V696" s="4"/>
      <c r="W696" s="4"/>
      <c r="X696" s="4"/>
    </row>
    <row r="697" spans="10:24" ht="12.75" x14ac:dyDescent="0.2">
      <c r="J697" s="4"/>
      <c r="K697" s="79"/>
      <c r="L697" s="4"/>
      <c r="M697" s="17"/>
      <c r="N697" s="4"/>
      <c r="O697" s="4"/>
      <c r="U697" s="4"/>
      <c r="V697" s="4"/>
      <c r="W697" s="4"/>
      <c r="X697" s="4"/>
    </row>
    <row r="698" spans="10:24" ht="12.75" x14ac:dyDescent="0.2">
      <c r="J698" s="4"/>
      <c r="K698" s="79"/>
      <c r="L698" s="4"/>
      <c r="M698" s="17"/>
      <c r="N698" s="4"/>
      <c r="O698" s="4"/>
      <c r="U698" s="4"/>
      <c r="V698" s="4"/>
      <c r="W698" s="4"/>
      <c r="X698" s="4"/>
    </row>
    <row r="699" spans="10:24" ht="12.75" x14ac:dyDescent="0.2">
      <c r="J699" s="4"/>
      <c r="K699" s="79"/>
      <c r="L699" s="4"/>
      <c r="M699" s="17"/>
      <c r="N699" s="4"/>
      <c r="O699" s="4"/>
      <c r="U699" s="4"/>
      <c r="V699" s="4"/>
      <c r="W699" s="4"/>
      <c r="X699" s="4"/>
    </row>
    <row r="700" spans="10:24" ht="12.75" x14ac:dyDescent="0.2">
      <c r="J700" s="4"/>
      <c r="K700" s="79"/>
      <c r="L700" s="4"/>
      <c r="M700" s="17"/>
      <c r="N700" s="4"/>
      <c r="O700" s="4"/>
      <c r="U700" s="4"/>
      <c r="V700" s="4"/>
      <c r="W700" s="4"/>
      <c r="X700" s="4"/>
    </row>
    <row r="701" spans="10:24" ht="12.75" x14ac:dyDescent="0.2">
      <c r="J701" s="4"/>
      <c r="K701" s="79"/>
      <c r="L701" s="4"/>
      <c r="M701" s="17"/>
      <c r="N701" s="4"/>
      <c r="O701" s="4"/>
      <c r="U701" s="4"/>
      <c r="V701" s="4"/>
      <c r="W701" s="4"/>
      <c r="X701" s="4"/>
    </row>
    <row r="702" spans="10:24" ht="12.75" x14ac:dyDescent="0.2">
      <c r="J702" s="4"/>
      <c r="K702" s="79"/>
      <c r="L702" s="4"/>
      <c r="M702" s="17"/>
      <c r="N702" s="4"/>
      <c r="O702" s="4"/>
      <c r="U702" s="4"/>
      <c r="V702" s="4"/>
      <c r="W702" s="4"/>
      <c r="X702" s="4"/>
    </row>
    <row r="703" spans="10:24" ht="12.75" x14ac:dyDescent="0.2">
      <c r="J703" s="4"/>
      <c r="K703" s="79"/>
      <c r="L703" s="4"/>
      <c r="M703" s="17"/>
      <c r="N703" s="4"/>
      <c r="O703" s="4"/>
      <c r="U703" s="4"/>
      <c r="V703" s="4"/>
      <c r="W703" s="4"/>
      <c r="X703" s="4"/>
    </row>
    <row r="704" spans="10:24" ht="12.75" x14ac:dyDescent="0.2">
      <c r="J704" s="4"/>
      <c r="K704" s="79"/>
      <c r="L704" s="4"/>
      <c r="M704" s="17"/>
      <c r="N704" s="4"/>
      <c r="O704" s="4"/>
      <c r="U704" s="4"/>
      <c r="V704" s="4"/>
      <c r="W704" s="4"/>
      <c r="X704" s="4"/>
    </row>
    <row r="705" spans="10:24" ht="12.75" x14ac:dyDescent="0.2">
      <c r="J705" s="4"/>
      <c r="K705" s="79"/>
      <c r="L705" s="4"/>
      <c r="M705" s="17"/>
      <c r="N705" s="4"/>
      <c r="O705" s="4"/>
      <c r="U705" s="4"/>
      <c r="V705" s="4"/>
      <c r="W705" s="4"/>
      <c r="X705" s="4"/>
    </row>
    <row r="706" spans="10:24" ht="12.75" x14ac:dyDescent="0.2">
      <c r="J706" s="4"/>
      <c r="K706" s="79"/>
      <c r="L706" s="4"/>
      <c r="M706" s="17"/>
      <c r="N706" s="4"/>
      <c r="O706" s="4"/>
      <c r="U706" s="4"/>
      <c r="V706" s="4"/>
      <c r="W706" s="4"/>
      <c r="X706" s="4"/>
    </row>
    <row r="707" spans="10:24" ht="12.75" x14ac:dyDescent="0.2">
      <c r="J707" s="4"/>
      <c r="K707" s="79"/>
      <c r="L707" s="4"/>
      <c r="M707" s="17"/>
      <c r="N707" s="4"/>
      <c r="O707" s="4"/>
      <c r="U707" s="4"/>
      <c r="V707" s="4"/>
      <c r="W707" s="4"/>
      <c r="X707" s="4"/>
    </row>
    <row r="708" spans="10:24" ht="12.75" x14ac:dyDescent="0.2">
      <c r="J708" s="4"/>
      <c r="K708" s="79"/>
      <c r="L708" s="4"/>
      <c r="M708" s="17"/>
      <c r="N708" s="4"/>
      <c r="O708" s="4"/>
      <c r="U708" s="4"/>
      <c r="V708" s="4"/>
      <c r="W708" s="4"/>
      <c r="X708" s="4"/>
    </row>
    <row r="709" spans="10:24" ht="12.75" x14ac:dyDescent="0.2">
      <c r="J709" s="4"/>
      <c r="K709" s="79"/>
      <c r="L709" s="4"/>
      <c r="M709" s="17"/>
      <c r="N709" s="4"/>
      <c r="O709" s="4"/>
      <c r="U709" s="4"/>
      <c r="V709" s="4"/>
      <c r="W709" s="4"/>
      <c r="X709" s="4"/>
    </row>
    <row r="710" spans="10:24" ht="12.75" x14ac:dyDescent="0.2">
      <c r="J710" s="4"/>
      <c r="K710" s="79"/>
      <c r="L710" s="4"/>
      <c r="M710" s="17"/>
      <c r="N710" s="4"/>
      <c r="O710" s="4"/>
      <c r="U710" s="4"/>
      <c r="V710" s="4"/>
      <c r="W710" s="4"/>
      <c r="X710" s="4"/>
    </row>
    <row r="711" spans="10:24" ht="12.75" x14ac:dyDescent="0.2">
      <c r="J711" s="4"/>
      <c r="K711" s="79"/>
      <c r="L711" s="4"/>
      <c r="M711" s="17"/>
      <c r="N711" s="4"/>
      <c r="O711" s="4"/>
      <c r="U711" s="4"/>
      <c r="V711" s="4"/>
      <c r="W711" s="4"/>
      <c r="X711" s="4"/>
    </row>
    <row r="712" spans="10:24" ht="12.75" x14ac:dyDescent="0.2">
      <c r="J712" s="4"/>
      <c r="K712" s="79"/>
      <c r="L712" s="4"/>
      <c r="M712" s="17"/>
      <c r="N712" s="4"/>
      <c r="O712" s="4"/>
      <c r="U712" s="4"/>
      <c r="V712" s="4"/>
      <c r="W712" s="4"/>
      <c r="X712" s="4"/>
    </row>
    <row r="713" spans="10:24" ht="12.75" x14ac:dyDescent="0.2">
      <c r="J713" s="4"/>
      <c r="K713" s="79"/>
      <c r="L713" s="4"/>
      <c r="M713" s="17"/>
      <c r="N713" s="4"/>
      <c r="O713" s="4"/>
      <c r="U713" s="4"/>
      <c r="V713" s="4"/>
      <c r="W713" s="4"/>
      <c r="X713" s="4"/>
    </row>
    <row r="714" spans="10:24" ht="12.75" x14ac:dyDescent="0.2">
      <c r="J714" s="4"/>
      <c r="K714" s="79"/>
      <c r="L714" s="4"/>
      <c r="M714" s="17"/>
      <c r="N714" s="4"/>
      <c r="O714" s="4"/>
      <c r="U714" s="4"/>
      <c r="V714" s="4"/>
      <c r="W714" s="4"/>
      <c r="X714" s="4"/>
    </row>
    <row r="715" spans="10:24" ht="12.75" x14ac:dyDescent="0.2">
      <c r="J715" s="4"/>
      <c r="K715" s="79"/>
      <c r="L715" s="4"/>
      <c r="M715" s="17"/>
      <c r="N715" s="4"/>
      <c r="O715" s="4"/>
      <c r="U715" s="4"/>
      <c r="V715" s="4"/>
      <c r="W715" s="4"/>
      <c r="X715" s="4"/>
    </row>
    <row r="716" spans="10:24" ht="12.75" x14ac:dyDescent="0.2">
      <c r="J716" s="4"/>
      <c r="K716" s="79"/>
      <c r="L716" s="4"/>
      <c r="M716" s="17"/>
      <c r="N716" s="4"/>
      <c r="O716" s="4"/>
      <c r="U716" s="4"/>
      <c r="V716" s="4"/>
      <c r="W716" s="4"/>
      <c r="X716" s="4"/>
    </row>
    <row r="717" spans="10:24" ht="12.75" x14ac:dyDescent="0.2">
      <c r="J717" s="4"/>
      <c r="K717" s="79"/>
      <c r="L717" s="4"/>
      <c r="M717" s="17"/>
      <c r="N717" s="4"/>
      <c r="O717" s="4"/>
      <c r="U717" s="4"/>
      <c r="V717" s="4"/>
      <c r="W717" s="4"/>
      <c r="X717" s="4"/>
    </row>
    <row r="718" spans="10:24" ht="12.75" x14ac:dyDescent="0.2">
      <c r="J718" s="4"/>
      <c r="K718" s="79"/>
      <c r="L718" s="4"/>
      <c r="M718" s="17"/>
      <c r="N718" s="4"/>
      <c r="O718" s="4"/>
      <c r="U718" s="4"/>
      <c r="V718" s="4"/>
      <c r="W718" s="4"/>
      <c r="X718" s="4"/>
    </row>
    <row r="719" spans="10:24" ht="12.75" x14ac:dyDescent="0.2">
      <c r="J719" s="4"/>
      <c r="K719" s="79"/>
      <c r="L719" s="4"/>
      <c r="M719" s="17"/>
      <c r="N719" s="4"/>
      <c r="O719" s="4"/>
      <c r="U719" s="4"/>
      <c r="V719" s="4"/>
      <c r="W719" s="4"/>
      <c r="X719" s="4"/>
    </row>
    <row r="720" spans="10:24" ht="12.75" x14ac:dyDescent="0.2">
      <c r="J720" s="4"/>
      <c r="K720" s="79"/>
      <c r="L720" s="4"/>
      <c r="M720" s="17"/>
      <c r="N720" s="4"/>
      <c r="O720" s="4"/>
      <c r="U720" s="4"/>
      <c r="V720" s="4"/>
      <c r="W720" s="4"/>
      <c r="X720" s="4"/>
    </row>
    <row r="721" spans="10:24" ht="12.75" x14ac:dyDescent="0.2">
      <c r="J721" s="4"/>
      <c r="K721" s="79"/>
      <c r="L721" s="4"/>
      <c r="M721" s="17"/>
      <c r="N721" s="4"/>
      <c r="O721" s="4"/>
      <c r="U721" s="4"/>
      <c r="V721" s="4"/>
      <c r="W721" s="4"/>
      <c r="X721" s="4"/>
    </row>
    <row r="722" spans="10:24" ht="12.75" x14ac:dyDescent="0.2">
      <c r="J722" s="4"/>
      <c r="K722" s="79"/>
      <c r="L722" s="4"/>
      <c r="M722" s="17"/>
      <c r="N722" s="4"/>
      <c r="O722" s="4"/>
      <c r="U722" s="4"/>
      <c r="V722" s="4"/>
      <c r="W722" s="4"/>
      <c r="X722" s="4"/>
    </row>
    <row r="723" spans="10:24" ht="12.75" x14ac:dyDescent="0.2">
      <c r="J723" s="4"/>
      <c r="K723" s="79"/>
      <c r="L723" s="4"/>
      <c r="M723" s="17"/>
      <c r="N723" s="4"/>
      <c r="O723" s="4"/>
      <c r="U723" s="4"/>
      <c r="V723" s="4"/>
      <c r="W723" s="4"/>
      <c r="X723" s="4"/>
    </row>
    <row r="724" spans="10:24" ht="12.75" x14ac:dyDescent="0.2">
      <c r="J724" s="4"/>
      <c r="K724" s="79"/>
      <c r="L724" s="4"/>
      <c r="M724" s="17"/>
      <c r="N724" s="4"/>
      <c r="O724" s="4"/>
      <c r="U724" s="4"/>
      <c r="V724" s="4"/>
      <c r="W724" s="4"/>
      <c r="X724" s="4"/>
    </row>
    <row r="725" spans="10:24" ht="12.75" x14ac:dyDescent="0.2">
      <c r="J725" s="4"/>
      <c r="K725" s="79"/>
      <c r="L725" s="4"/>
      <c r="M725" s="17"/>
      <c r="N725" s="4"/>
      <c r="O725" s="4"/>
      <c r="U725" s="4"/>
      <c r="V725" s="4"/>
      <c r="W725" s="4"/>
      <c r="X725" s="4"/>
    </row>
    <row r="726" spans="10:24" ht="12.75" x14ac:dyDescent="0.2">
      <c r="J726" s="4"/>
      <c r="K726" s="79"/>
      <c r="L726" s="4"/>
      <c r="M726" s="17"/>
      <c r="N726" s="4"/>
      <c r="O726" s="4"/>
      <c r="U726" s="4"/>
      <c r="V726" s="4"/>
      <c r="W726" s="4"/>
      <c r="X726" s="4"/>
    </row>
    <row r="727" spans="10:24" ht="12.75" x14ac:dyDescent="0.2">
      <c r="J727" s="4"/>
      <c r="K727" s="79"/>
      <c r="L727" s="4"/>
      <c r="M727" s="17"/>
      <c r="N727" s="4"/>
      <c r="O727" s="4"/>
      <c r="U727" s="4"/>
      <c r="V727" s="4"/>
      <c r="W727" s="4"/>
      <c r="X727" s="4"/>
    </row>
    <row r="728" spans="10:24" ht="12.75" x14ac:dyDescent="0.2">
      <c r="J728" s="4"/>
      <c r="K728" s="79"/>
      <c r="L728" s="4"/>
      <c r="M728" s="17"/>
      <c r="N728" s="4"/>
      <c r="O728" s="4"/>
      <c r="U728" s="4"/>
      <c r="V728" s="4"/>
      <c r="W728" s="4"/>
      <c r="X728" s="4"/>
    </row>
    <row r="729" spans="10:24" ht="12.75" x14ac:dyDescent="0.2">
      <c r="J729" s="4"/>
      <c r="K729" s="79"/>
      <c r="L729" s="4"/>
      <c r="M729" s="17"/>
      <c r="N729" s="4"/>
      <c r="O729" s="4"/>
      <c r="U729" s="4"/>
      <c r="V729" s="4"/>
      <c r="W729" s="4"/>
      <c r="X729" s="4"/>
    </row>
    <row r="730" spans="10:24" ht="12.75" x14ac:dyDescent="0.2">
      <c r="J730" s="4"/>
      <c r="K730" s="79"/>
      <c r="L730" s="4"/>
      <c r="M730" s="17"/>
      <c r="N730" s="4"/>
      <c r="O730" s="4"/>
      <c r="U730" s="4"/>
      <c r="V730" s="4"/>
      <c r="W730" s="4"/>
      <c r="X730" s="4"/>
    </row>
    <row r="731" spans="10:24" ht="12.75" x14ac:dyDescent="0.2">
      <c r="J731" s="4"/>
      <c r="K731" s="79"/>
      <c r="L731" s="4"/>
      <c r="M731" s="17"/>
      <c r="N731" s="4"/>
      <c r="O731" s="4"/>
      <c r="U731" s="4"/>
      <c r="V731" s="4"/>
      <c r="W731" s="4"/>
      <c r="X731" s="4"/>
    </row>
    <row r="732" spans="10:24" ht="12.75" x14ac:dyDescent="0.2">
      <c r="J732" s="4"/>
      <c r="K732" s="79"/>
      <c r="L732" s="4"/>
      <c r="M732" s="17"/>
      <c r="N732" s="4"/>
      <c r="O732" s="4"/>
      <c r="U732" s="4"/>
      <c r="V732" s="4"/>
      <c r="W732" s="4"/>
      <c r="X732" s="4"/>
    </row>
    <row r="733" spans="10:24" ht="12.75" x14ac:dyDescent="0.2">
      <c r="J733" s="4"/>
      <c r="K733" s="79"/>
      <c r="L733" s="4"/>
      <c r="M733" s="17"/>
      <c r="N733" s="4"/>
      <c r="O733" s="4"/>
      <c r="U733" s="4"/>
      <c r="V733" s="4"/>
      <c r="W733" s="4"/>
      <c r="X733" s="4"/>
    </row>
    <row r="734" spans="10:24" ht="12.75" x14ac:dyDescent="0.2">
      <c r="J734" s="4"/>
      <c r="K734" s="79"/>
      <c r="L734" s="4"/>
      <c r="M734" s="17"/>
      <c r="N734" s="4"/>
      <c r="O734" s="4"/>
      <c r="U734" s="4"/>
      <c r="V734" s="4"/>
      <c r="W734" s="4"/>
      <c r="X734" s="4"/>
    </row>
    <row r="735" spans="10:24" ht="12.75" x14ac:dyDescent="0.2">
      <c r="J735" s="4"/>
      <c r="K735" s="79"/>
      <c r="L735" s="4"/>
      <c r="M735" s="17"/>
      <c r="N735" s="4"/>
      <c r="O735" s="4"/>
      <c r="U735" s="4"/>
      <c r="V735" s="4"/>
      <c r="W735" s="4"/>
      <c r="X735" s="4"/>
    </row>
    <row r="736" spans="10:24" ht="12.75" x14ac:dyDescent="0.2">
      <c r="J736" s="4"/>
      <c r="K736" s="79"/>
      <c r="L736" s="4"/>
      <c r="M736" s="17"/>
      <c r="N736" s="4"/>
      <c r="O736" s="4"/>
      <c r="U736" s="4"/>
      <c r="V736" s="4"/>
      <c r="W736" s="4"/>
      <c r="X736" s="4"/>
    </row>
    <row r="737" spans="10:24" ht="12.75" x14ac:dyDescent="0.2">
      <c r="J737" s="4"/>
      <c r="K737" s="79"/>
      <c r="L737" s="4"/>
      <c r="M737" s="17"/>
      <c r="N737" s="4"/>
      <c r="O737" s="4"/>
      <c r="U737" s="4"/>
      <c r="V737" s="4"/>
      <c r="W737" s="4"/>
      <c r="X737" s="4"/>
    </row>
    <row r="738" spans="10:24" ht="12.75" x14ac:dyDescent="0.2">
      <c r="J738" s="4"/>
      <c r="K738" s="79"/>
      <c r="L738" s="4"/>
      <c r="M738" s="17"/>
      <c r="N738" s="4"/>
      <c r="O738" s="4"/>
      <c r="U738" s="4"/>
      <c r="V738" s="4"/>
      <c r="W738" s="4"/>
      <c r="X738" s="4"/>
    </row>
    <row r="739" spans="10:24" ht="12.75" x14ac:dyDescent="0.2">
      <c r="J739" s="4"/>
      <c r="K739" s="79"/>
      <c r="L739" s="4"/>
      <c r="M739" s="17"/>
      <c r="N739" s="4"/>
      <c r="O739" s="4"/>
      <c r="U739" s="4"/>
      <c r="V739" s="4"/>
      <c r="W739" s="4"/>
      <c r="X739" s="4"/>
    </row>
    <row r="740" spans="10:24" ht="12.75" x14ac:dyDescent="0.2">
      <c r="J740" s="4"/>
      <c r="K740" s="79"/>
      <c r="L740" s="4"/>
      <c r="M740" s="17"/>
      <c r="N740" s="4"/>
      <c r="O740" s="4"/>
      <c r="U740" s="4"/>
      <c r="V740" s="4"/>
      <c r="W740" s="4"/>
      <c r="X740" s="4"/>
    </row>
    <row r="741" spans="10:24" ht="12.75" x14ac:dyDescent="0.2">
      <c r="J741" s="4"/>
      <c r="K741" s="79"/>
      <c r="L741" s="4"/>
      <c r="M741" s="17"/>
      <c r="N741" s="4"/>
      <c r="O741" s="4"/>
      <c r="U741" s="4"/>
      <c r="V741" s="4"/>
      <c r="W741" s="4"/>
      <c r="X741" s="4"/>
    </row>
    <row r="742" spans="10:24" ht="12.75" x14ac:dyDescent="0.2">
      <c r="J742" s="4"/>
      <c r="K742" s="79"/>
      <c r="L742" s="4"/>
      <c r="M742" s="17"/>
      <c r="N742" s="4"/>
      <c r="O742" s="4"/>
      <c r="U742" s="4"/>
      <c r="V742" s="4"/>
      <c r="W742" s="4"/>
      <c r="X742" s="4"/>
    </row>
    <row r="743" spans="10:24" ht="12.75" x14ac:dyDescent="0.2">
      <c r="J743" s="4"/>
      <c r="K743" s="79"/>
      <c r="L743" s="4"/>
      <c r="M743" s="17"/>
      <c r="N743" s="4"/>
      <c r="O743" s="4"/>
      <c r="U743" s="4"/>
      <c r="V743" s="4"/>
      <c r="W743" s="4"/>
      <c r="X743" s="4"/>
    </row>
    <row r="744" spans="10:24" ht="12.75" x14ac:dyDescent="0.2">
      <c r="J744" s="4"/>
      <c r="K744" s="79"/>
      <c r="L744" s="4"/>
      <c r="M744" s="17"/>
      <c r="N744" s="4"/>
      <c r="O744" s="4"/>
      <c r="U744" s="4"/>
      <c r="V744" s="4"/>
      <c r="W744" s="4"/>
      <c r="X744" s="4"/>
    </row>
    <row r="745" spans="10:24" ht="12.75" x14ac:dyDescent="0.2">
      <c r="J745" s="4"/>
      <c r="K745" s="79"/>
      <c r="L745" s="4"/>
      <c r="M745" s="17"/>
      <c r="N745" s="4"/>
      <c r="O745" s="4"/>
      <c r="U745" s="4"/>
      <c r="V745" s="4"/>
      <c r="W745" s="4"/>
      <c r="X745" s="4"/>
    </row>
    <row r="746" spans="10:24" ht="12.75" x14ac:dyDescent="0.2">
      <c r="J746" s="4"/>
      <c r="K746" s="79"/>
      <c r="L746" s="4"/>
      <c r="M746" s="17"/>
      <c r="N746" s="4"/>
      <c r="O746" s="4"/>
      <c r="U746" s="4"/>
      <c r="V746" s="4"/>
      <c r="W746" s="4"/>
      <c r="X746" s="4"/>
    </row>
    <row r="747" spans="10:24" ht="12.75" x14ac:dyDescent="0.2">
      <c r="J747" s="4"/>
      <c r="K747" s="79"/>
      <c r="L747" s="4"/>
      <c r="M747" s="17"/>
      <c r="N747" s="4"/>
      <c r="O747" s="4"/>
      <c r="U747" s="4"/>
      <c r="V747" s="4"/>
      <c r="W747" s="4"/>
      <c r="X747" s="4"/>
    </row>
    <row r="748" spans="10:24" ht="12.75" x14ac:dyDescent="0.2">
      <c r="J748" s="4"/>
      <c r="K748" s="79"/>
      <c r="L748" s="4"/>
      <c r="M748" s="17"/>
      <c r="N748" s="4"/>
      <c r="O748" s="4"/>
      <c r="U748" s="4"/>
      <c r="V748" s="4"/>
      <c r="W748" s="4"/>
      <c r="X748" s="4"/>
    </row>
    <row r="749" spans="10:24" ht="12.75" x14ac:dyDescent="0.2">
      <c r="J749" s="4"/>
      <c r="K749" s="79"/>
      <c r="L749" s="4"/>
      <c r="M749" s="17"/>
      <c r="N749" s="4"/>
      <c r="O749" s="4"/>
      <c r="U749" s="4"/>
      <c r="V749" s="4"/>
      <c r="W749" s="4"/>
      <c r="X749" s="4"/>
    </row>
    <row r="750" spans="10:24" ht="12.75" x14ac:dyDescent="0.2">
      <c r="J750" s="4"/>
      <c r="K750" s="79"/>
      <c r="L750" s="4"/>
      <c r="M750" s="17"/>
      <c r="N750" s="4"/>
      <c r="O750" s="4"/>
      <c r="U750" s="4"/>
      <c r="V750" s="4"/>
      <c r="W750" s="4"/>
      <c r="X750" s="4"/>
    </row>
    <row r="751" spans="10:24" ht="12.75" x14ac:dyDescent="0.2">
      <c r="J751" s="4"/>
      <c r="K751" s="79"/>
      <c r="L751" s="4"/>
      <c r="M751" s="17"/>
      <c r="N751" s="4"/>
      <c r="O751" s="4"/>
      <c r="U751" s="4"/>
      <c r="V751" s="4"/>
      <c r="W751" s="4"/>
      <c r="X751" s="4"/>
    </row>
    <row r="752" spans="10:24" ht="12.75" x14ac:dyDescent="0.2">
      <c r="J752" s="4"/>
      <c r="K752" s="79"/>
      <c r="L752" s="4"/>
      <c r="M752" s="17"/>
      <c r="N752" s="4"/>
      <c r="O752" s="4"/>
      <c r="U752" s="4"/>
      <c r="V752" s="4"/>
      <c r="W752" s="4"/>
      <c r="X752" s="4"/>
    </row>
    <row r="753" spans="10:24" ht="12.75" x14ac:dyDescent="0.2">
      <c r="J753" s="4"/>
      <c r="K753" s="79"/>
      <c r="L753" s="4"/>
      <c r="M753" s="17"/>
      <c r="N753" s="4"/>
      <c r="O753" s="4"/>
      <c r="U753" s="4"/>
      <c r="V753" s="4"/>
      <c r="W753" s="4"/>
      <c r="X753" s="4"/>
    </row>
    <row r="754" spans="10:24" ht="12.75" x14ac:dyDescent="0.2">
      <c r="J754" s="4"/>
      <c r="K754" s="79"/>
      <c r="L754" s="4"/>
      <c r="M754" s="17"/>
      <c r="N754" s="4"/>
      <c r="O754" s="4"/>
      <c r="U754" s="4"/>
      <c r="V754" s="4"/>
      <c r="W754" s="4"/>
      <c r="X754" s="4"/>
    </row>
    <row r="755" spans="10:24" ht="12.75" x14ac:dyDescent="0.2">
      <c r="J755" s="4"/>
      <c r="K755" s="79"/>
      <c r="L755" s="4"/>
      <c r="M755" s="17"/>
      <c r="N755" s="4"/>
      <c r="O755" s="4"/>
      <c r="U755" s="4"/>
      <c r="V755" s="4"/>
      <c r="W755" s="4"/>
      <c r="X755" s="4"/>
    </row>
    <row r="756" spans="10:24" ht="12.75" x14ac:dyDescent="0.2">
      <c r="J756" s="4"/>
      <c r="K756" s="79"/>
      <c r="L756" s="4"/>
      <c r="M756" s="17"/>
      <c r="N756" s="4"/>
      <c r="O756" s="4"/>
      <c r="U756" s="4"/>
      <c r="V756" s="4"/>
      <c r="W756" s="4"/>
      <c r="X756" s="4"/>
    </row>
    <row r="757" spans="10:24" ht="12.75" x14ac:dyDescent="0.2">
      <c r="J757" s="4"/>
      <c r="K757" s="79"/>
      <c r="L757" s="4"/>
      <c r="M757" s="17"/>
      <c r="N757" s="4"/>
      <c r="O757" s="4"/>
      <c r="U757" s="4"/>
      <c r="V757" s="4"/>
      <c r="W757" s="4"/>
      <c r="X757" s="4"/>
    </row>
    <row r="758" spans="10:24" ht="12.75" x14ac:dyDescent="0.2">
      <c r="J758" s="4"/>
      <c r="K758" s="79"/>
      <c r="L758" s="4"/>
      <c r="M758" s="17"/>
      <c r="N758" s="4"/>
      <c r="O758" s="4"/>
      <c r="U758" s="4"/>
      <c r="V758" s="4"/>
      <c r="W758" s="4"/>
      <c r="X758" s="4"/>
    </row>
    <row r="759" spans="10:24" ht="12.75" x14ac:dyDescent="0.2">
      <c r="J759" s="4"/>
      <c r="K759" s="79"/>
      <c r="L759" s="4"/>
      <c r="M759" s="17"/>
      <c r="N759" s="4"/>
      <c r="O759" s="4"/>
      <c r="U759" s="4"/>
      <c r="V759" s="4"/>
      <c r="W759" s="4"/>
      <c r="X759" s="4"/>
    </row>
    <row r="760" spans="10:24" ht="12.75" x14ac:dyDescent="0.2">
      <c r="J760" s="4"/>
      <c r="K760" s="79"/>
      <c r="L760" s="4"/>
      <c r="M760" s="17"/>
      <c r="N760" s="4"/>
      <c r="O760" s="4"/>
      <c r="U760" s="4"/>
      <c r="V760" s="4"/>
      <c r="W760" s="4"/>
      <c r="X760" s="4"/>
    </row>
    <row r="761" spans="10:24" ht="12.75" x14ac:dyDescent="0.2">
      <c r="J761" s="4"/>
      <c r="K761" s="79"/>
      <c r="L761" s="4"/>
      <c r="M761" s="17"/>
      <c r="N761" s="4"/>
      <c r="O761" s="4"/>
      <c r="U761" s="4"/>
      <c r="V761" s="4"/>
      <c r="W761" s="4"/>
      <c r="X761" s="4"/>
    </row>
    <row r="762" spans="10:24" ht="12.75" x14ac:dyDescent="0.2">
      <c r="J762" s="4"/>
      <c r="K762" s="79"/>
      <c r="L762" s="4"/>
      <c r="M762" s="17"/>
      <c r="N762" s="4"/>
      <c r="O762" s="4"/>
      <c r="U762" s="4"/>
      <c r="V762" s="4"/>
      <c r="W762" s="4"/>
      <c r="X762" s="4"/>
    </row>
    <row r="763" spans="10:24" ht="12.75" x14ac:dyDescent="0.2">
      <c r="J763" s="4"/>
      <c r="K763" s="79"/>
      <c r="L763" s="4"/>
      <c r="M763" s="17"/>
      <c r="N763" s="4"/>
      <c r="O763" s="4"/>
      <c r="U763" s="4"/>
      <c r="V763" s="4"/>
      <c r="W763" s="4"/>
      <c r="X763" s="4"/>
    </row>
    <row r="764" spans="10:24" ht="12.75" x14ac:dyDescent="0.2">
      <c r="J764" s="4"/>
      <c r="K764" s="79"/>
      <c r="L764" s="4"/>
      <c r="M764" s="17"/>
      <c r="N764" s="4"/>
      <c r="O764" s="4"/>
      <c r="U764" s="4"/>
      <c r="V764" s="4"/>
      <c r="W764" s="4"/>
      <c r="X764" s="4"/>
    </row>
    <row r="765" spans="10:24" ht="12.75" x14ac:dyDescent="0.2">
      <c r="J765" s="4"/>
      <c r="K765" s="79"/>
      <c r="L765" s="4"/>
      <c r="M765" s="17"/>
      <c r="N765" s="4"/>
      <c r="O765" s="4"/>
      <c r="U765" s="4"/>
      <c r="V765" s="4"/>
      <c r="W765" s="4"/>
      <c r="X765" s="4"/>
    </row>
    <row r="766" spans="10:24" ht="12.75" x14ac:dyDescent="0.2">
      <c r="J766" s="4"/>
      <c r="K766" s="79"/>
      <c r="L766" s="4"/>
      <c r="M766" s="17"/>
      <c r="N766" s="4"/>
      <c r="O766" s="4"/>
      <c r="U766" s="4"/>
      <c r="V766" s="4"/>
      <c r="W766" s="4"/>
      <c r="X766" s="4"/>
    </row>
    <row r="767" spans="10:24" ht="12.75" x14ac:dyDescent="0.2">
      <c r="J767" s="4"/>
      <c r="K767" s="79"/>
      <c r="L767" s="4"/>
      <c r="M767" s="17"/>
      <c r="N767" s="4"/>
      <c r="O767" s="4"/>
      <c r="U767" s="4"/>
      <c r="V767" s="4"/>
      <c r="W767" s="4"/>
      <c r="X767" s="4"/>
    </row>
    <row r="768" spans="10:24" ht="12.75" x14ac:dyDescent="0.2">
      <c r="J768" s="4"/>
      <c r="K768" s="79"/>
      <c r="L768" s="4"/>
      <c r="M768" s="17"/>
      <c r="N768" s="4"/>
      <c r="O768" s="4"/>
      <c r="U768" s="4"/>
      <c r="V768" s="4"/>
      <c r="W768" s="4"/>
      <c r="X768" s="4"/>
    </row>
    <row r="769" spans="10:24" ht="12.75" x14ac:dyDescent="0.2">
      <c r="J769" s="4"/>
      <c r="K769" s="79"/>
      <c r="L769" s="4"/>
      <c r="M769" s="17"/>
      <c r="N769" s="4"/>
      <c r="O769" s="4"/>
      <c r="U769" s="4"/>
      <c r="V769" s="4"/>
      <c r="W769" s="4"/>
      <c r="X769" s="4"/>
    </row>
    <row r="770" spans="10:24" ht="12.75" x14ac:dyDescent="0.2">
      <c r="J770" s="4"/>
      <c r="K770" s="79"/>
      <c r="L770" s="4"/>
      <c r="M770" s="17"/>
      <c r="N770" s="4"/>
      <c r="O770" s="4"/>
      <c r="U770" s="4"/>
      <c r="V770" s="4"/>
      <c r="W770" s="4"/>
      <c r="X770" s="4"/>
    </row>
    <row r="771" spans="10:24" ht="12.75" x14ac:dyDescent="0.2">
      <c r="J771" s="4"/>
      <c r="K771" s="79"/>
      <c r="L771" s="4"/>
      <c r="M771" s="17"/>
      <c r="N771" s="4"/>
      <c r="O771" s="4"/>
      <c r="U771" s="4"/>
      <c r="V771" s="4"/>
      <c r="W771" s="4"/>
      <c r="X771" s="4"/>
    </row>
    <row r="772" spans="10:24" ht="12.75" x14ac:dyDescent="0.2">
      <c r="J772" s="4"/>
      <c r="K772" s="79"/>
      <c r="L772" s="4"/>
      <c r="M772" s="17"/>
      <c r="N772" s="4"/>
      <c r="O772" s="4"/>
      <c r="U772" s="4"/>
      <c r="V772" s="4"/>
      <c r="W772" s="4"/>
      <c r="X772" s="4"/>
    </row>
    <row r="773" spans="10:24" ht="12.75" x14ac:dyDescent="0.2">
      <c r="J773" s="4"/>
      <c r="K773" s="79"/>
      <c r="L773" s="4"/>
      <c r="M773" s="17"/>
      <c r="N773" s="4"/>
      <c r="O773" s="4"/>
      <c r="U773" s="4"/>
      <c r="V773" s="4"/>
      <c r="W773" s="4"/>
      <c r="X773" s="4"/>
    </row>
    <row r="774" spans="10:24" ht="12.75" x14ac:dyDescent="0.2">
      <c r="J774" s="4"/>
      <c r="K774" s="79"/>
      <c r="L774" s="4"/>
      <c r="M774" s="17"/>
      <c r="N774" s="4"/>
      <c r="O774" s="4"/>
      <c r="U774" s="4"/>
      <c r="V774" s="4"/>
      <c r="W774" s="4"/>
      <c r="X774" s="4"/>
    </row>
    <row r="775" spans="10:24" ht="12.75" x14ac:dyDescent="0.2">
      <c r="J775" s="4"/>
      <c r="K775" s="79"/>
      <c r="L775" s="4"/>
      <c r="M775" s="17"/>
      <c r="N775" s="4"/>
      <c r="O775" s="4"/>
      <c r="U775" s="4"/>
      <c r="V775" s="4"/>
      <c r="W775" s="4"/>
      <c r="X775" s="4"/>
    </row>
    <row r="776" spans="10:24" ht="12.75" x14ac:dyDescent="0.2">
      <c r="J776" s="4"/>
      <c r="K776" s="79"/>
      <c r="L776" s="4"/>
      <c r="M776" s="17"/>
      <c r="N776" s="4"/>
      <c r="O776" s="4"/>
      <c r="U776" s="4"/>
      <c r="V776" s="4"/>
      <c r="W776" s="4"/>
      <c r="X776" s="4"/>
    </row>
    <row r="777" spans="10:24" ht="12.75" x14ac:dyDescent="0.2">
      <c r="J777" s="4"/>
      <c r="K777" s="79"/>
      <c r="L777" s="4"/>
      <c r="M777" s="17"/>
      <c r="N777" s="4"/>
      <c r="O777" s="4"/>
      <c r="U777" s="4"/>
      <c r="V777" s="4"/>
      <c r="W777" s="4"/>
      <c r="X777" s="4"/>
    </row>
    <row r="778" spans="10:24" ht="12.75" x14ac:dyDescent="0.2">
      <c r="J778" s="4"/>
      <c r="K778" s="79"/>
      <c r="L778" s="4"/>
      <c r="M778" s="17"/>
      <c r="N778" s="4"/>
      <c r="O778" s="4"/>
      <c r="U778" s="4"/>
      <c r="V778" s="4"/>
      <c r="W778" s="4"/>
      <c r="X778" s="4"/>
    </row>
    <row r="779" spans="10:24" ht="12.75" x14ac:dyDescent="0.2">
      <c r="J779" s="4"/>
      <c r="K779" s="79"/>
      <c r="L779" s="4"/>
      <c r="M779" s="17"/>
      <c r="N779" s="4"/>
      <c r="O779" s="4"/>
      <c r="U779" s="4"/>
      <c r="V779" s="4"/>
      <c r="W779" s="4"/>
      <c r="X779" s="4"/>
    </row>
    <row r="780" spans="10:24" ht="12.75" x14ac:dyDescent="0.2">
      <c r="J780" s="4"/>
      <c r="K780" s="79"/>
      <c r="L780" s="4"/>
      <c r="M780" s="17"/>
      <c r="N780" s="4"/>
      <c r="O780" s="4"/>
      <c r="U780" s="4"/>
      <c r="V780" s="4"/>
      <c r="W780" s="4"/>
      <c r="X780" s="4"/>
    </row>
    <row r="781" spans="10:24" ht="12.75" x14ac:dyDescent="0.2">
      <c r="J781" s="4"/>
      <c r="K781" s="79"/>
      <c r="L781" s="4"/>
      <c r="M781" s="17"/>
      <c r="N781" s="4"/>
      <c r="O781" s="4"/>
      <c r="U781" s="4"/>
      <c r="V781" s="4"/>
      <c r="W781" s="4"/>
      <c r="X781" s="4"/>
    </row>
    <row r="782" spans="10:24" ht="12.75" x14ac:dyDescent="0.2">
      <c r="J782" s="4"/>
      <c r="K782" s="79"/>
      <c r="L782" s="4"/>
      <c r="M782" s="17"/>
      <c r="N782" s="4"/>
      <c r="O782" s="4"/>
      <c r="U782" s="4"/>
      <c r="V782" s="4"/>
      <c r="W782" s="4"/>
      <c r="X782" s="4"/>
    </row>
    <row r="783" spans="10:24" ht="12.75" x14ac:dyDescent="0.2">
      <c r="J783" s="4"/>
      <c r="K783" s="79"/>
      <c r="L783" s="4"/>
      <c r="M783" s="17"/>
      <c r="N783" s="4"/>
      <c r="O783" s="4"/>
      <c r="U783" s="4"/>
      <c r="V783" s="4"/>
      <c r="W783" s="4"/>
      <c r="X783" s="4"/>
    </row>
    <row r="784" spans="10:24" ht="12.75" x14ac:dyDescent="0.2">
      <c r="J784" s="4"/>
      <c r="K784" s="79"/>
      <c r="L784" s="4"/>
      <c r="M784" s="17"/>
      <c r="N784" s="4"/>
      <c r="O784" s="4"/>
      <c r="U784" s="4"/>
      <c r="V784" s="4"/>
      <c r="W784" s="4"/>
      <c r="X784" s="4"/>
    </row>
    <row r="785" spans="10:24" ht="12.75" x14ac:dyDescent="0.2">
      <c r="J785" s="4"/>
      <c r="K785" s="79"/>
      <c r="L785" s="4"/>
      <c r="M785" s="17"/>
      <c r="N785" s="4"/>
      <c r="O785" s="4"/>
      <c r="U785" s="4"/>
      <c r="V785" s="4"/>
      <c r="W785" s="4"/>
      <c r="X785" s="4"/>
    </row>
    <row r="786" spans="10:24" ht="12.75" x14ac:dyDescent="0.2">
      <c r="J786" s="4"/>
      <c r="K786" s="79"/>
      <c r="L786" s="4"/>
      <c r="M786" s="17"/>
      <c r="N786" s="4"/>
      <c r="O786" s="4"/>
      <c r="U786" s="4"/>
      <c r="V786" s="4"/>
      <c r="W786" s="4"/>
      <c r="X786" s="4"/>
    </row>
    <row r="787" spans="10:24" ht="12.75" x14ac:dyDescent="0.2">
      <c r="J787" s="4"/>
      <c r="K787" s="79"/>
      <c r="L787" s="4"/>
      <c r="M787" s="17"/>
      <c r="N787" s="4"/>
      <c r="O787" s="4"/>
      <c r="U787" s="4"/>
      <c r="V787" s="4"/>
      <c r="W787" s="4"/>
      <c r="X787" s="4"/>
    </row>
    <row r="788" spans="10:24" ht="12.75" x14ac:dyDescent="0.2">
      <c r="J788" s="4"/>
      <c r="K788" s="79"/>
      <c r="L788" s="4"/>
      <c r="M788" s="17"/>
      <c r="N788" s="4"/>
      <c r="O788" s="4"/>
      <c r="U788" s="4"/>
      <c r="V788" s="4"/>
      <c r="W788" s="4"/>
      <c r="X788" s="4"/>
    </row>
    <row r="789" spans="10:24" ht="12.75" x14ac:dyDescent="0.2">
      <c r="J789" s="4"/>
      <c r="K789" s="79"/>
      <c r="L789" s="4"/>
      <c r="M789" s="17"/>
      <c r="N789" s="4"/>
      <c r="O789" s="4"/>
      <c r="U789" s="4"/>
      <c r="V789" s="4"/>
      <c r="W789" s="4"/>
      <c r="X789" s="4"/>
    </row>
    <row r="790" spans="10:24" ht="12.75" x14ac:dyDescent="0.2">
      <c r="J790" s="4"/>
      <c r="K790" s="79"/>
      <c r="L790" s="4"/>
      <c r="M790" s="17"/>
      <c r="N790" s="4"/>
      <c r="O790" s="4"/>
      <c r="U790" s="4"/>
      <c r="V790" s="4"/>
      <c r="W790" s="4"/>
      <c r="X790" s="4"/>
    </row>
    <row r="791" spans="10:24" ht="12.75" x14ac:dyDescent="0.2">
      <c r="J791" s="4"/>
      <c r="K791" s="79"/>
      <c r="L791" s="4"/>
      <c r="M791" s="17"/>
      <c r="N791" s="4"/>
      <c r="O791" s="4"/>
      <c r="U791" s="4"/>
      <c r="V791" s="4"/>
      <c r="W791" s="4"/>
      <c r="X791" s="4"/>
    </row>
    <row r="792" spans="10:24" ht="12.75" x14ac:dyDescent="0.2">
      <c r="J792" s="4"/>
      <c r="K792" s="79"/>
      <c r="L792" s="4"/>
      <c r="M792" s="17"/>
      <c r="N792" s="4"/>
      <c r="O792" s="4"/>
      <c r="U792" s="4"/>
      <c r="V792" s="4"/>
      <c r="W792" s="4"/>
      <c r="X792" s="4"/>
    </row>
    <row r="793" spans="10:24" ht="12.75" x14ac:dyDescent="0.2">
      <c r="J793" s="4"/>
      <c r="K793" s="79"/>
      <c r="L793" s="4"/>
      <c r="M793" s="17"/>
      <c r="N793" s="4"/>
      <c r="O793" s="4"/>
      <c r="U793" s="4"/>
      <c r="V793" s="4"/>
      <c r="W793" s="4"/>
      <c r="X793" s="4"/>
    </row>
    <row r="794" spans="10:24" ht="12.75" x14ac:dyDescent="0.2">
      <c r="J794" s="4"/>
      <c r="K794" s="79"/>
      <c r="L794" s="4"/>
      <c r="M794" s="17"/>
      <c r="N794" s="4"/>
      <c r="O794" s="4"/>
      <c r="U794" s="4"/>
      <c r="V794" s="4"/>
      <c r="W794" s="4"/>
      <c r="X794" s="4"/>
    </row>
    <row r="795" spans="10:24" ht="12.75" x14ac:dyDescent="0.2">
      <c r="J795" s="4"/>
      <c r="K795" s="79"/>
      <c r="L795" s="4"/>
      <c r="M795" s="17"/>
      <c r="N795" s="4"/>
      <c r="O795" s="4"/>
      <c r="U795" s="4"/>
      <c r="V795" s="4"/>
      <c r="W795" s="4"/>
      <c r="X795" s="4"/>
    </row>
    <row r="796" spans="10:24" ht="12.75" x14ac:dyDescent="0.2">
      <c r="J796" s="4"/>
      <c r="K796" s="79"/>
      <c r="L796" s="4"/>
      <c r="M796" s="17"/>
      <c r="N796" s="4"/>
      <c r="O796" s="4"/>
      <c r="U796" s="4"/>
      <c r="V796" s="4"/>
      <c r="W796" s="4"/>
      <c r="X796" s="4"/>
    </row>
    <row r="797" spans="10:24" ht="12.75" x14ac:dyDescent="0.2">
      <c r="J797" s="4"/>
      <c r="K797" s="79"/>
      <c r="L797" s="4"/>
      <c r="M797" s="17"/>
      <c r="N797" s="4"/>
      <c r="O797" s="4"/>
      <c r="U797" s="4"/>
      <c r="V797" s="4"/>
      <c r="W797" s="4"/>
      <c r="X797" s="4"/>
    </row>
    <row r="798" spans="10:24" ht="12.75" x14ac:dyDescent="0.2">
      <c r="J798" s="4"/>
      <c r="K798" s="79"/>
      <c r="L798" s="4"/>
      <c r="M798" s="17"/>
      <c r="N798" s="4"/>
      <c r="O798" s="4"/>
      <c r="U798" s="4"/>
      <c r="V798" s="4"/>
      <c r="W798" s="4"/>
      <c r="X798" s="4"/>
    </row>
    <row r="799" spans="10:24" ht="12.75" x14ac:dyDescent="0.2">
      <c r="J799" s="4"/>
      <c r="K799" s="79"/>
      <c r="L799" s="4"/>
      <c r="M799" s="17"/>
      <c r="N799" s="4"/>
      <c r="O799" s="4"/>
      <c r="U799" s="4"/>
      <c r="V799" s="4"/>
      <c r="W799" s="4"/>
      <c r="X799" s="4"/>
    </row>
    <row r="800" spans="10:24" ht="12.75" x14ac:dyDescent="0.2">
      <c r="J800" s="4"/>
      <c r="K800" s="79"/>
      <c r="L800" s="4"/>
      <c r="M800" s="17"/>
      <c r="N800" s="4"/>
      <c r="O800" s="4"/>
      <c r="U800" s="4"/>
      <c r="V800" s="4"/>
      <c r="W800" s="4"/>
      <c r="X800" s="4"/>
    </row>
    <row r="801" spans="10:24" ht="12.75" x14ac:dyDescent="0.2">
      <c r="J801" s="4"/>
      <c r="K801" s="79"/>
      <c r="L801" s="4"/>
      <c r="M801" s="17"/>
      <c r="N801" s="4"/>
      <c r="O801" s="4"/>
      <c r="U801" s="4"/>
      <c r="V801" s="4"/>
      <c r="W801" s="4"/>
      <c r="X801" s="4"/>
    </row>
    <row r="802" spans="10:24" ht="12.75" x14ac:dyDescent="0.2">
      <c r="J802" s="4"/>
      <c r="K802" s="79"/>
      <c r="L802" s="4"/>
      <c r="M802" s="17"/>
      <c r="N802" s="4"/>
      <c r="O802" s="4"/>
      <c r="U802" s="4"/>
      <c r="V802" s="4"/>
      <c r="W802" s="4"/>
      <c r="X802" s="4"/>
    </row>
    <row r="803" spans="10:24" ht="12.75" x14ac:dyDescent="0.2">
      <c r="J803" s="4"/>
      <c r="K803" s="79"/>
      <c r="L803" s="4"/>
      <c r="M803" s="17"/>
      <c r="N803" s="4"/>
      <c r="O803" s="4"/>
      <c r="U803" s="4"/>
      <c r="V803" s="4"/>
      <c r="W803" s="4"/>
      <c r="X803" s="4"/>
    </row>
    <row r="804" spans="10:24" ht="12.75" x14ac:dyDescent="0.2">
      <c r="J804" s="4"/>
      <c r="K804" s="79"/>
      <c r="L804" s="4"/>
      <c r="M804" s="17"/>
      <c r="N804" s="4"/>
      <c r="O804" s="4"/>
      <c r="U804" s="4"/>
      <c r="V804" s="4"/>
      <c r="W804" s="4"/>
      <c r="X804" s="4"/>
    </row>
    <row r="805" spans="10:24" ht="12.75" x14ac:dyDescent="0.2">
      <c r="J805" s="4"/>
      <c r="K805" s="79"/>
      <c r="L805" s="4"/>
      <c r="M805" s="17"/>
      <c r="N805" s="4"/>
      <c r="O805" s="4"/>
      <c r="U805" s="4"/>
      <c r="V805" s="4"/>
      <c r="W805" s="4"/>
      <c r="X805" s="4"/>
    </row>
    <row r="806" spans="10:24" ht="12.75" x14ac:dyDescent="0.2">
      <c r="J806" s="4"/>
      <c r="K806" s="79"/>
      <c r="L806" s="4"/>
      <c r="M806" s="17"/>
      <c r="N806" s="4"/>
      <c r="O806" s="4"/>
      <c r="U806" s="4"/>
      <c r="V806" s="4"/>
      <c r="W806" s="4"/>
      <c r="X806" s="4"/>
    </row>
    <row r="807" spans="10:24" ht="12.75" x14ac:dyDescent="0.2">
      <c r="J807" s="4"/>
      <c r="K807" s="79"/>
      <c r="L807" s="4"/>
      <c r="M807" s="17"/>
      <c r="N807" s="4"/>
      <c r="O807" s="4"/>
      <c r="U807" s="4"/>
      <c r="V807" s="4"/>
      <c r="W807" s="4"/>
      <c r="X807" s="4"/>
    </row>
    <row r="808" spans="10:24" ht="12.75" x14ac:dyDescent="0.2">
      <c r="J808" s="4"/>
      <c r="K808" s="79"/>
      <c r="L808" s="4"/>
      <c r="M808" s="17"/>
      <c r="N808" s="4"/>
      <c r="O808" s="4"/>
      <c r="U808" s="4"/>
      <c r="V808" s="4"/>
      <c r="W808" s="4"/>
      <c r="X808" s="4"/>
    </row>
    <row r="809" spans="10:24" ht="12.75" x14ac:dyDescent="0.2">
      <c r="J809" s="4"/>
      <c r="K809" s="79"/>
      <c r="L809" s="4"/>
      <c r="M809" s="17"/>
      <c r="N809" s="4"/>
      <c r="O809" s="4"/>
      <c r="U809" s="4"/>
      <c r="V809" s="4"/>
      <c r="W809" s="4"/>
      <c r="X809" s="4"/>
    </row>
    <row r="810" spans="10:24" ht="12.75" x14ac:dyDescent="0.2">
      <c r="J810" s="4"/>
      <c r="K810" s="79"/>
      <c r="L810" s="4"/>
      <c r="M810" s="17"/>
      <c r="N810" s="4"/>
      <c r="O810" s="4"/>
      <c r="U810" s="4"/>
      <c r="V810" s="4"/>
      <c r="W810" s="4"/>
      <c r="X810" s="4"/>
    </row>
    <row r="811" spans="10:24" ht="12.75" x14ac:dyDescent="0.2">
      <c r="J811" s="4"/>
      <c r="K811" s="79"/>
      <c r="L811" s="4"/>
      <c r="M811" s="17"/>
      <c r="N811" s="4"/>
      <c r="O811" s="4"/>
      <c r="U811" s="4"/>
      <c r="V811" s="4"/>
      <c r="W811" s="4"/>
      <c r="X811" s="4"/>
    </row>
    <row r="812" spans="10:24" ht="12.75" x14ac:dyDescent="0.2">
      <c r="J812" s="4"/>
      <c r="K812" s="79"/>
      <c r="L812" s="4"/>
      <c r="M812" s="17"/>
      <c r="N812" s="4"/>
      <c r="O812" s="4"/>
      <c r="U812" s="4"/>
      <c r="V812" s="4"/>
      <c r="W812" s="4"/>
      <c r="X812" s="4"/>
    </row>
    <row r="813" spans="10:24" ht="12.75" x14ac:dyDescent="0.2">
      <c r="J813" s="4"/>
      <c r="K813" s="79"/>
      <c r="L813" s="4"/>
      <c r="M813" s="17"/>
      <c r="N813" s="4"/>
      <c r="O813" s="4"/>
      <c r="U813" s="4"/>
      <c r="V813" s="4"/>
      <c r="W813" s="4"/>
      <c r="X813" s="4"/>
    </row>
    <row r="814" spans="10:24" ht="12.75" x14ac:dyDescent="0.2">
      <c r="J814" s="4"/>
      <c r="K814" s="79"/>
      <c r="L814" s="4"/>
      <c r="M814" s="17"/>
      <c r="N814" s="4"/>
      <c r="O814" s="4"/>
      <c r="U814" s="4"/>
      <c r="V814" s="4"/>
      <c r="W814" s="4"/>
      <c r="X814" s="4"/>
    </row>
    <row r="815" spans="10:24" ht="12.75" x14ac:dyDescent="0.2">
      <c r="J815" s="4"/>
      <c r="K815" s="79"/>
      <c r="L815" s="4"/>
      <c r="M815" s="17"/>
      <c r="N815" s="4"/>
      <c r="O815" s="4"/>
      <c r="U815" s="4"/>
      <c r="V815" s="4"/>
      <c r="W815" s="4"/>
      <c r="X815" s="4"/>
    </row>
    <row r="816" spans="10:24" ht="12.75" x14ac:dyDescent="0.2">
      <c r="J816" s="4"/>
      <c r="K816" s="79"/>
      <c r="L816" s="4"/>
      <c r="M816" s="17"/>
      <c r="N816" s="4"/>
      <c r="O816" s="4"/>
      <c r="U816" s="4"/>
      <c r="V816" s="4"/>
      <c r="W816" s="4"/>
      <c r="X816" s="4"/>
    </row>
    <row r="817" spans="10:24" ht="12.75" x14ac:dyDescent="0.2">
      <c r="J817" s="4"/>
      <c r="K817" s="79"/>
      <c r="L817" s="4"/>
      <c r="M817" s="17"/>
      <c r="N817" s="4"/>
      <c r="O817" s="4"/>
      <c r="U817" s="4"/>
      <c r="V817" s="4"/>
      <c r="W817" s="4"/>
      <c r="X817" s="4"/>
    </row>
    <row r="818" spans="10:24" ht="12.75" x14ac:dyDescent="0.2">
      <c r="J818" s="4"/>
      <c r="K818" s="79"/>
      <c r="L818" s="4"/>
      <c r="M818" s="17"/>
      <c r="N818" s="4"/>
      <c r="O818" s="4"/>
      <c r="U818" s="4"/>
      <c r="V818" s="4"/>
      <c r="W818" s="4"/>
      <c r="X818" s="4"/>
    </row>
    <row r="819" spans="10:24" ht="12.75" x14ac:dyDescent="0.2">
      <c r="J819" s="4"/>
      <c r="K819" s="79"/>
      <c r="L819" s="4"/>
      <c r="M819" s="17"/>
      <c r="N819" s="4"/>
      <c r="O819" s="4"/>
      <c r="U819" s="4"/>
      <c r="V819" s="4"/>
      <c r="W819" s="4"/>
      <c r="X819" s="4"/>
    </row>
    <row r="820" spans="10:24" ht="12.75" x14ac:dyDescent="0.2">
      <c r="J820" s="4"/>
      <c r="K820" s="79"/>
      <c r="L820" s="4"/>
      <c r="M820" s="17"/>
      <c r="N820" s="4"/>
      <c r="O820" s="4"/>
      <c r="U820" s="4"/>
      <c r="V820" s="4"/>
      <c r="W820" s="4"/>
      <c r="X820" s="4"/>
    </row>
    <row r="821" spans="10:24" ht="12.75" x14ac:dyDescent="0.2">
      <c r="J821" s="4"/>
      <c r="K821" s="79"/>
      <c r="L821" s="4"/>
      <c r="M821" s="17"/>
      <c r="N821" s="4"/>
      <c r="O821" s="4"/>
      <c r="U821" s="4"/>
      <c r="V821" s="4"/>
      <c r="W821" s="4"/>
      <c r="X821" s="4"/>
    </row>
    <row r="822" spans="10:24" ht="12.75" x14ac:dyDescent="0.2">
      <c r="J822" s="4"/>
      <c r="K822" s="79"/>
      <c r="L822" s="4"/>
      <c r="M822" s="17"/>
      <c r="N822" s="4"/>
      <c r="O822" s="4"/>
      <c r="U822" s="4"/>
      <c r="V822" s="4"/>
      <c r="W822" s="4"/>
      <c r="X822" s="4"/>
    </row>
    <row r="823" spans="10:24" ht="12.75" x14ac:dyDescent="0.2">
      <c r="J823" s="4"/>
      <c r="K823" s="79"/>
      <c r="L823" s="4"/>
      <c r="M823" s="17"/>
      <c r="N823" s="4"/>
      <c r="O823" s="4"/>
      <c r="U823" s="4"/>
      <c r="V823" s="4"/>
      <c r="W823" s="4"/>
      <c r="X823" s="4"/>
    </row>
    <row r="824" spans="10:24" ht="12.75" x14ac:dyDescent="0.2">
      <c r="J824" s="4"/>
      <c r="K824" s="79"/>
      <c r="L824" s="4"/>
      <c r="M824" s="17"/>
      <c r="N824" s="4"/>
      <c r="O824" s="4"/>
      <c r="U824" s="4"/>
      <c r="V824" s="4"/>
      <c r="W824" s="4"/>
      <c r="X824" s="4"/>
    </row>
    <row r="825" spans="10:24" ht="12.75" x14ac:dyDescent="0.2">
      <c r="J825" s="4"/>
      <c r="K825" s="79"/>
      <c r="L825" s="4"/>
      <c r="M825" s="17"/>
      <c r="N825" s="4"/>
      <c r="O825" s="4"/>
      <c r="U825" s="4"/>
      <c r="V825" s="4"/>
      <c r="W825" s="4"/>
      <c r="X825" s="4"/>
    </row>
    <row r="826" spans="10:24" ht="12.75" x14ac:dyDescent="0.2">
      <c r="J826" s="4"/>
      <c r="K826" s="79"/>
      <c r="L826" s="4"/>
      <c r="M826" s="17"/>
      <c r="N826" s="4"/>
      <c r="O826" s="4"/>
      <c r="U826" s="4"/>
      <c r="V826" s="4"/>
      <c r="W826" s="4"/>
      <c r="X826" s="4"/>
    </row>
    <row r="827" spans="10:24" ht="12.75" x14ac:dyDescent="0.2">
      <c r="J827" s="4"/>
      <c r="K827" s="79"/>
      <c r="L827" s="4"/>
      <c r="M827" s="17"/>
      <c r="N827" s="4"/>
      <c r="O827" s="4"/>
      <c r="U827" s="4"/>
      <c r="V827" s="4"/>
      <c r="W827" s="4"/>
      <c r="X827" s="4"/>
    </row>
    <row r="828" spans="10:24" ht="12.75" x14ac:dyDescent="0.2">
      <c r="J828" s="4"/>
      <c r="K828" s="79"/>
      <c r="L828" s="4"/>
      <c r="M828" s="17"/>
      <c r="N828" s="4"/>
      <c r="O828" s="4"/>
      <c r="U828" s="4"/>
      <c r="V828" s="4"/>
      <c r="W828" s="4"/>
      <c r="X828" s="4"/>
    </row>
    <row r="829" spans="10:24" ht="12.75" x14ac:dyDescent="0.2">
      <c r="J829" s="4"/>
      <c r="K829" s="79"/>
      <c r="L829" s="4"/>
      <c r="M829" s="17"/>
      <c r="N829" s="4"/>
      <c r="O829" s="4"/>
      <c r="U829" s="4"/>
      <c r="V829" s="4"/>
      <c r="W829" s="4"/>
      <c r="X829" s="4"/>
    </row>
    <row r="830" spans="10:24" ht="12.75" x14ac:dyDescent="0.2">
      <c r="J830" s="4"/>
      <c r="K830" s="79"/>
      <c r="L830" s="4"/>
      <c r="M830" s="17"/>
      <c r="N830" s="4"/>
      <c r="O830" s="4"/>
      <c r="U830" s="4"/>
      <c r="V830" s="4"/>
      <c r="W830" s="4"/>
      <c r="X830" s="4"/>
    </row>
    <row r="831" spans="10:24" ht="12.75" x14ac:dyDescent="0.2">
      <c r="J831" s="4"/>
      <c r="K831" s="79"/>
      <c r="L831" s="4"/>
      <c r="M831" s="17"/>
      <c r="N831" s="4"/>
      <c r="O831" s="4"/>
      <c r="U831" s="4"/>
      <c r="V831" s="4"/>
      <c r="W831" s="4"/>
      <c r="X831" s="4"/>
    </row>
    <row r="832" spans="10:24" ht="12.75" x14ac:dyDescent="0.2">
      <c r="J832" s="4"/>
      <c r="K832" s="79"/>
      <c r="L832" s="4"/>
      <c r="M832" s="17"/>
      <c r="N832" s="4"/>
      <c r="O832" s="4"/>
      <c r="U832" s="4"/>
      <c r="V832" s="4"/>
      <c r="W832" s="4"/>
      <c r="X832" s="4"/>
    </row>
    <row r="833" spans="10:24" ht="12.75" x14ac:dyDescent="0.2">
      <c r="J833" s="4"/>
      <c r="K833" s="79"/>
      <c r="L833" s="4"/>
      <c r="M833" s="17"/>
      <c r="N833" s="4"/>
      <c r="O833" s="4"/>
      <c r="U833" s="4"/>
      <c r="V833" s="4"/>
      <c r="W833" s="4"/>
      <c r="X833" s="4"/>
    </row>
    <row r="834" spans="10:24" ht="12.75" x14ac:dyDescent="0.2">
      <c r="J834" s="4"/>
      <c r="K834" s="79"/>
      <c r="L834" s="4"/>
      <c r="M834" s="17"/>
      <c r="N834" s="4"/>
      <c r="O834" s="4"/>
      <c r="U834" s="4"/>
      <c r="V834" s="4"/>
      <c r="W834" s="4"/>
      <c r="X834" s="4"/>
    </row>
    <row r="835" spans="10:24" ht="12.75" x14ac:dyDescent="0.2">
      <c r="J835" s="4"/>
      <c r="K835" s="79"/>
      <c r="L835" s="4"/>
      <c r="M835" s="17"/>
      <c r="N835" s="4"/>
      <c r="O835" s="4"/>
      <c r="U835" s="4"/>
      <c r="V835" s="4"/>
      <c r="W835" s="4"/>
      <c r="X835" s="4"/>
    </row>
    <row r="836" spans="10:24" ht="12.75" x14ac:dyDescent="0.2">
      <c r="J836" s="4"/>
      <c r="K836" s="79"/>
      <c r="L836" s="4"/>
      <c r="M836" s="17"/>
      <c r="N836" s="4"/>
      <c r="O836" s="4"/>
      <c r="U836" s="4"/>
      <c r="V836" s="4"/>
      <c r="W836" s="4"/>
      <c r="X836" s="4"/>
    </row>
    <row r="837" spans="10:24" ht="12.75" x14ac:dyDescent="0.2">
      <c r="J837" s="4"/>
      <c r="K837" s="79"/>
      <c r="L837" s="4"/>
      <c r="M837" s="17"/>
      <c r="N837" s="4"/>
      <c r="O837" s="4"/>
      <c r="U837" s="4"/>
      <c r="V837" s="4"/>
      <c r="W837" s="4"/>
      <c r="X837" s="4"/>
    </row>
    <row r="838" spans="10:24" ht="12.75" x14ac:dyDescent="0.2">
      <c r="J838" s="4"/>
      <c r="K838" s="79"/>
      <c r="L838" s="4"/>
      <c r="M838" s="17"/>
      <c r="N838" s="4"/>
      <c r="O838" s="4"/>
      <c r="U838" s="4"/>
      <c r="V838" s="4"/>
      <c r="W838" s="4"/>
      <c r="X838" s="4"/>
    </row>
    <row r="839" spans="10:24" ht="12.75" x14ac:dyDescent="0.2">
      <c r="J839" s="4"/>
      <c r="K839" s="79"/>
      <c r="L839" s="4"/>
      <c r="M839" s="17"/>
      <c r="N839" s="4"/>
      <c r="O839" s="4"/>
      <c r="U839" s="4"/>
      <c r="V839" s="4"/>
      <c r="W839" s="4"/>
      <c r="X839" s="4"/>
    </row>
    <row r="840" spans="10:24" ht="12.75" x14ac:dyDescent="0.2">
      <c r="J840" s="4"/>
      <c r="K840" s="79"/>
      <c r="L840" s="4"/>
      <c r="M840" s="17"/>
      <c r="N840" s="4"/>
      <c r="O840" s="4"/>
      <c r="U840" s="4"/>
      <c r="V840" s="4"/>
      <c r="W840" s="4"/>
      <c r="X840" s="4"/>
    </row>
    <row r="841" spans="10:24" ht="12.75" x14ac:dyDescent="0.2">
      <c r="J841" s="4"/>
      <c r="K841" s="79"/>
      <c r="L841" s="4"/>
      <c r="M841" s="17"/>
      <c r="N841" s="4"/>
      <c r="O841" s="4"/>
      <c r="U841" s="4"/>
      <c r="V841" s="4"/>
      <c r="W841" s="4"/>
      <c r="X841" s="4"/>
    </row>
    <row r="842" spans="10:24" ht="12.75" x14ac:dyDescent="0.2">
      <c r="J842" s="4"/>
      <c r="K842" s="79"/>
      <c r="L842" s="4"/>
      <c r="M842" s="17"/>
      <c r="N842" s="4"/>
      <c r="O842" s="4"/>
      <c r="U842" s="4"/>
      <c r="V842" s="4"/>
      <c r="W842" s="4"/>
      <c r="X842" s="4"/>
    </row>
    <row r="843" spans="10:24" ht="12.75" x14ac:dyDescent="0.2">
      <c r="J843" s="4"/>
      <c r="K843" s="79"/>
      <c r="L843" s="4"/>
      <c r="M843" s="17"/>
      <c r="N843" s="4"/>
      <c r="O843" s="4"/>
      <c r="U843" s="4"/>
      <c r="V843" s="4"/>
      <c r="W843" s="4"/>
      <c r="X843" s="4"/>
    </row>
    <row r="844" spans="10:24" ht="12.75" x14ac:dyDescent="0.2">
      <c r="J844" s="4"/>
      <c r="K844" s="79"/>
      <c r="L844" s="4"/>
      <c r="M844" s="17"/>
      <c r="N844" s="4"/>
      <c r="O844" s="4"/>
      <c r="U844" s="4"/>
      <c r="V844" s="4"/>
      <c r="W844" s="4"/>
      <c r="X844" s="4"/>
    </row>
    <row r="845" spans="10:24" ht="12.75" x14ac:dyDescent="0.2">
      <c r="J845" s="4"/>
      <c r="K845" s="79"/>
      <c r="L845" s="4"/>
      <c r="M845" s="17"/>
      <c r="N845" s="4"/>
      <c r="O845" s="4"/>
      <c r="U845" s="4"/>
      <c r="V845" s="4"/>
      <c r="W845" s="4"/>
      <c r="X845" s="4"/>
    </row>
    <row r="846" spans="10:24" ht="12.75" x14ac:dyDescent="0.2">
      <c r="J846" s="4"/>
      <c r="K846" s="79"/>
      <c r="L846" s="4"/>
      <c r="M846" s="17"/>
      <c r="N846" s="4"/>
      <c r="O846" s="4"/>
      <c r="U846" s="4"/>
      <c r="V846" s="4"/>
      <c r="W846" s="4"/>
      <c r="X846" s="4"/>
    </row>
    <row r="847" spans="10:24" ht="12.75" x14ac:dyDescent="0.2">
      <c r="J847" s="4"/>
      <c r="K847" s="79"/>
      <c r="L847" s="4"/>
      <c r="M847" s="17"/>
      <c r="N847" s="4"/>
      <c r="O847" s="4"/>
      <c r="U847" s="4"/>
      <c r="V847" s="4"/>
      <c r="W847" s="4"/>
      <c r="X847" s="4"/>
    </row>
    <row r="848" spans="10:24" ht="12.75" x14ac:dyDescent="0.2">
      <c r="J848" s="4"/>
      <c r="K848" s="79"/>
      <c r="L848" s="4"/>
      <c r="M848" s="17"/>
      <c r="N848" s="4"/>
      <c r="O848" s="4"/>
      <c r="U848" s="4"/>
      <c r="V848" s="4"/>
      <c r="W848" s="4"/>
      <c r="X848" s="4"/>
    </row>
    <row r="849" spans="10:24" ht="12.75" x14ac:dyDescent="0.2">
      <c r="J849" s="4"/>
      <c r="K849" s="79"/>
      <c r="L849" s="4"/>
      <c r="M849" s="17"/>
      <c r="N849" s="4"/>
      <c r="O849" s="4"/>
      <c r="U849" s="4"/>
      <c r="V849" s="4"/>
      <c r="W849" s="4"/>
      <c r="X849" s="4"/>
    </row>
    <row r="850" spans="10:24" ht="12.75" x14ac:dyDescent="0.2">
      <c r="J850" s="4"/>
      <c r="K850" s="79"/>
      <c r="L850" s="4"/>
      <c r="M850" s="17"/>
      <c r="N850" s="4"/>
      <c r="O850" s="4"/>
      <c r="U850" s="4"/>
      <c r="V850" s="4"/>
      <c r="W850" s="4"/>
      <c r="X850" s="4"/>
    </row>
    <row r="851" spans="10:24" ht="12.75" x14ac:dyDescent="0.2">
      <c r="J851" s="4"/>
      <c r="K851" s="79"/>
      <c r="L851" s="4"/>
      <c r="M851" s="17"/>
      <c r="N851" s="4"/>
      <c r="O851" s="4"/>
      <c r="U851" s="4"/>
      <c r="V851" s="4"/>
      <c r="W851" s="4"/>
      <c r="X851" s="4"/>
    </row>
    <row r="852" spans="10:24" ht="12.75" x14ac:dyDescent="0.2">
      <c r="J852" s="4"/>
      <c r="K852" s="79"/>
      <c r="L852" s="4"/>
      <c r="M852" s="17"/>
      <c r="N852" s="4"/>
      <c r="O852" s="4"/>
      <c r="U852" s="4"/>
      <c r="V852" s="4"/>
      <c r="W852" s="4"/>
      <c r="X852" s="4"/>
    </row>
    <row r="853" spans="10:24" ht="12.75" x14ac:dyDescent="0.2">
      <c r="J853" s="4"/>
      <c r="K853" s="79"/>
      <c r="L853" s="4"/>
      <c r="M853" s="17"/>
      <c r="N853" s="4"/>
      <c r="O853" s="4"/>
      <c r="U853" s="4"/>
      <c r="V853" s="4"/>
      <c r="W853" s="4"/>
      <c r="X853" s="4"/>
    </row>
    <row r="854" spans="10:24" ht="12.75" x14ac:dyDescent="0.2">
      <c r="J854" s="4"/>
      <c r="K854" s="79"/>
      <c r="L854" s="4"/>
      <c r="M854" s="17"/>
      <c r="N854" s="4"/>
      <c r="O854" s="4"/>
      <c r="U854" s="4"/>
      <c r="V854" s="4"/>
      <c r="W854" s="4"/>
      <c r="X854" s="4"/>
    </row>
    <row r="855" spans="10:24" ht="12.75" x14ac:dyDescent="0.2">
      <c r="J855" s="4"/>
      <c r="K855" s="79"/>
      <c r="L855" s="4"/>
      <c r="M855" s="17"/>
      <c r="N855" s="4"/>
      <c r="O855" s="4"/>
      <c r="U855" s="4"/>
      <c r="V855" s="4"/>
      <c r="W855" s="4"/>
      <c r="X855" s="4"/>
    </row>
    <row r="856" spans="10:24" ht="12.75" x14ac:dyDescent="0.2">
      <c r="J856" s="4"/>
      <c r="K856" s="79"/>
      <c r="L856" s="4"/>
      <c r="M856" s="17"/>
      <c r="N856" s="4"/>
      <c r="O856" s="4"/>
      <c r="U856" s="4"/>
      <c r="V856" s="4"/>
      <c r="W856" s="4"/>
      <c r="X856" s="4"/>
    </row>
    <row r="857" spans="10:24" ht="12.75" x14ac:dyDescent="0.2">
      <c r="J857" s="4"/>
      <c r="K857" s="79"/>
      <c r="L857" s="4"/>
      <c r="M857" s="17"/>
      <c r="N857" s="4"/>
      <c r="O857" s="4"/>
      <c r="U857" s="4"/>
      <c r="V857" s="4"/>
      <c r="W857" s="4"/>
      <c r="X857" s="4"/>
    </row>
    <row r="858" spans="10:24" ht="12.75" x14ac:dyDescent="0.2">
      <c r="J858" s="4"/>
      <c r="K858" s="79"/>
      <c r="L858" s="4"/>
      <c r="M858" s="17"/>
      <c r="N858" s="4"/>
      <c r="O858" s="4"/>
      <c r="U858" s="4"/>
      <c r="V858" s="4"/>
      <c r="W858" s="4"/>
      <c r="X858" s="4"/>
    </row>
    <row r="859" spans="10:24" ht="12.75" x14ac:dyDescent="0.2">
      <c r="J859" s="4"/>
      <c r="K859" s="79"/>
      <c r="L859" s="4"/>
      <c r="M859" s="17"/>
      <c r="N859" s="4"/>
      <c r="O859" s="4"/>
      <c r="U859" s="4"/>
      <c r="V859" s="4"/>
      <c r="W859" s="4"/>
      <c r="X859" s="4"/>
    </row>
    <row r="860" spans="10:24" ht="12.75" x14ac:dyDescent="0.2">
      <c r="J860" s="4"/>
      <c r="K860" s="79"/>
      <c r="L860" s="4"/>
      <c r="M860" s="17"/>
      <c r="N860" s="4"/>
      <c r="O860" s="4"/>
      <c r="U860" s="4"/>
      <c r="V860" s="4"/>
      <c r="W860" s="4"/>
      <c r="X860" s="4"/>
    </row>
    <row r="861" spans="10:24" ht="12.75" x14ac:dyDescent="0.2">
      <c r="J861" s="4"/>
      <c r="K861" s="79"/>
      <c r="L861" s="4"/>
      <c r="M861" s="17"/>
      <c r="N861" s="4"/>
      <c r="O861" s="4"/>
      <c r="U861" s="4"/>
      <c r="V861" s="4"/>
      <c r="W861" s="4"/>
      <c r="X861" s="4"/>
    </row>
    <row r="862" spans="10:24" ht="12.75" x14ac:dyDescent="0.2">
      <c r="J862" s="4"/>
      <c r="K862" s="79"/>
      <c r="L862" s="4"/>
      <c r="M862" s="17"/>
      <c r="N862" s="4"/>
      <c r="O862" s="4"/>
      <c r="U862" s="4"/>
      <c r="V862" s="4"/>
      <c r="W862" s="4"/>
      <c r="X862" s="4"/>
    </row>
    <row r="863" spans="10:24" ht="12.75" x14ac:dyDescent="0.2">
      <c r="J863" s="4"/>
      <c r="K863" s="79"/>
      <c r="L863" s="4"/>
      <c r="M863" s="17"/>
      <c r="N863" s="4"/>
      <c r="O863" s="4"/>
      <c r="U863" s="4"/>
      <c r="V863" s="4"/>
      <c r="W863" s="4"/>
      <c r="X863" s="4"/>
    </row>
    <row r="864" spans="10:24" ht="12.75" x14ac:dyDescent="0.2">
      <c r="J864" s="4"/>
      <c r="K864" s="79"/>
      <c r="L864" s="4"/>
      <c r="M864" s="17"/>
      <c r="N864" s="4"/>
      <c r="O864" s="4"/>
      <c r="U864" s="4"/>
      <c r="V864" s="4"/>
      <c r="W864" s="4"/>
      <c r="X864" s="4"/>
    </row>
    <row r="865" spans="10:24" ht="12.75" x14ac:dyDescent="0.2">
      <c r="J865" s="4"/>
      <c r="K865" s="79"/>
      <c r="L865" s="4"/>
      <c r="M865" s="17"/>
      <c r="N865" s="4"/>
      <c r="O865" s="4"/>
      <c r="U865" s="4"/>
      <c r="V865" s="4"/>
      <c r="W865" s="4"/>
      <c r="X865" s="4"/>
    </row>
    <row r="866" spans="10:24" ht="12.75" x14ac:dyDescent="0.2">
      <c r="J866" s="4"/>
      <c r="K866" s="79"/>
      <c r="L866" s="4"/>
      <c r="M866" s="17"/>
      <c r="N866" s="4"/>
      <c r="O866" s="4"/>
      <c r="U866" s="4"/>
      <c r="V866" s="4"/>
      <c r="W866" s="4"/>
      <c r="X866" s="4"/>
    </row>
    <row r="867" spans="10:24" ht="12.75" x14ac:dyDescent="0.2">
      <c r="J867" s="4"/>
      <c r="K867" s="79"/>
      <c r="L867" s="4"/>
      <c r="M867" s="17"/>
      <c r="N867" s="4"/>
      <c r="O867" s="4"/>
      <c r="U867" s="4"/>
      <c r="V867" s="4"/>
      <c r="W867" s="4"/>
      <c r="X867" s="4"/>
    </row>
    <row r="868" spans="10:24" ht="12.75" x14ac:dyDescent="0.2">
      <c r="J868" s="4"/>
      <c r="K868" s="79"/>
      <c r="L868" s="4"/>
      <c r="M868" s="17"/>
      <c r="N868" s="4"/>
      <c r="O868" s="4"/>
      <c r="U868" s="4"/>
      <c r="V868" s="4"/>
      <c r="W868" s="4"/>
      <c r="X868" s="4"/>
    </row>
    <row r="869" spans="10:24" ht="12.75" x14ac:dyDescent="0.2">
      <c r="J869" s="4"/>
      <c r="K869" s="79"/>
      <c r="L869" s="4"/>
      <c r="M869" s="17"/>
      <c r="N869" s="4"/>
      <c r="O869" s="4"/>
      <c r="U869" s="4"/>
      <c r="V869" s="4"/>
      <c r="W869" s="4"/>
      <c r="X869" s="4"/>
    </row>
    <row r="870" spans="10:24" ht="12.75" x14ac:dyDescent="0.2">
      <c r="J870" s="4"/>
      <c r="K870" s="79"/>
      <c r="L870" s="4"/>
      <c r="M870" s="17"/>
      <c r="N870" s="4"/>
      <c r="O870" s="4"/>
      <c r="U870" s="4"/>
      <c r="V870" s="4"/>
      <c r="W870" s="4"/>
      <c r="X870" s="4"/>
    </row>
    <row r="871" spans="10:24" ht="12.75" x14ac:dyDescent="0.2">
      <c r="J871" s="4"/>
      <c r="K871" s="79"/>
      <c r="L871" s="4"/>
      <c r="M871" s="17"/>
      <c r="N871" s="4"/>
      <c r="O871" s="4"/>
      <c r="U871" s="4"/>
      <c r="V871" s="4"/>
      <c r="W871" s="4"/>
      <c r="X871" s="4"/>
    </row>
    <row r="872" spans="10:24" ht="12.75" x14ac:dyDescent="0.2">
      <c r="J872" s="4"/>
      <c r="K872" s="79"/>
      <c r="L872" s="4"/>
      <c r="M872" s="17"/>
      <c r="N872" s="4"/>
      <c r="O872" s="4"/>
      <c r="U872" s="4"/>
      <c r="V872" s="4"/>
      <c r="W872" s="4"/>
      <c r="X872" s="4"/>
    </row>
    <row r="873" spans="10:24" ht="12.75" x14ac:dyDescent="0.2">
      <c r="J873" s="4"/>
      <c r="K873" s="79"/>
      <c r="L873" s="4"/>
      <c r="M873" s="17"/>
      <c r="N873" s="4"/>
      <c r="O873" s="4"/>
      <c r="U873" s="4"/>
      <c r="V873" s="4"/>
      <c r="W873" s="4"/>
      <c r="X873" s="4"/>
    </row>
    <row r="874" spans="10:24" ht="12.75" x14ac:dyDescent="0.2">
      <c r="J874" s="4"/>
      <c r="K874" s="79"/>
      <c r="L874" s="4"/>
      <c r="M874" s="17"/>
      <c r="N874" s="4"/>
      <c r="O874" s="4"/>
      <c r="U874" s="4"/>
      <c r="V874" s="4"/>
      <c r="W874" s="4"/>
      <c r="X874" s="4"/>
    </row>
    <row r="875" spans="10:24" ht="12.75" x14ac:dyDescent="0.2">
      <c r="J875" s="4"/>
      <c r="K875" s="79"/>
      <c r="L875" s="4"/>
      <c r="M875" s="17"/>
      <c r="N875" s="4"/>
      <c r="O875" s="4"/>
      <c r="U875" s="4"/>
      <c r="V875" s="4"/>
      <c r="W875" s="4"/>
      <c r="X875" s="4"/>
    </row>
    <row r="876" spans="10:24" ht="12.75" x14ac:dyDescent="0.2">
      <c r="J876" s="4"/>
      <c r="K876" s="79"/>
      <c r="L876" s="4"/>
      <c r="M876" s="17"/>
      <c r="N876" s="4"/>
      <c r="O876" s="4"/>
      <c r="U876" s="4"/>
      <c r="V876" s="4"/>
      <c r="W876" s="4"/>
      <c r="X876" s="4"/>
    </row>
    <row r="877" spans="10:24" ht="12.75" x14ac:dyDescent="0.2">
      <c r="J877" s="4"/>
      <c r="K877" s="79"/>
      <c r="L877" s="4"/>
      <c r="M877" s="17"/>
      <c r="N877" s="4"/>
      <c r="O877" s="4"/>
      <c r="U877" s="4"/>
      <c r="V877" s="4"/>
      <c r="W877" s="4"/>
      <c r="X877" s="4"/>
    </row>
    <row r="878" spans="10:24" ht="12.75" x14ac:dyDescent="0.2">
      <c r="J878" s="4"/>
      <c r="K878" s="79"/>
      <c r="L878" s="4"/>
      <c r="M878" s="17"/>
      <c r="N878" s="4"/>
      <c r="O878" s="4"/>
      <c r="U878" s="4"/>
      <c r="V878" s="4"/>
      <c r="W878" s="4"/>
      <c r="X878" s="4"/>
    </row>
    <row r="879" spans="10:24" ht="12.75" x14ac:dyDescent="0.2">
      <c r="J879" s="4"/>
      <c r="K879" s="79"/>
      <c r="L879" s="4"/>
      <c r="M879" s="17"/>
      <c r="N879" s="4"/>
      <c r="O879" s="4"/>
      <c r="U879" s="4"/>
      <c r="V879" s="4"/>
      <c r="W879" s="4"/>
      <c r="X879" s="4"/>
    </row>
    <row r="880" spans="10:24" ht="12.75" x14ac:dyDescent="0.2">
      <c r="J880" s="4"/>
      <c r="K880" s="79"/>
      <c r="L880" s="4"/>
      <c r="M880" s="17"/>
      <c r="N880" s="4"/>
      <c r="O880" s="4"/>
      <c r="U880" s="4"/>
      <c r="V880" s="4"/>
      <c r="W880" s="4"/>
      <c r="X880" s="4"/>
    </row>
    <row r="881" spans="10:24" ht="12.75" x14ac:dyDescent="0.2">
      <c r="J881" s="4"/>
      <c r="K881" s="79"/>
      <c r="L881" s="4"/>
      <c r="M881" s="17"/>
      <c r="N881" s="4"/>
      <c r="O881" s="4"/>
      <c r="U881" s="4"/>
      <c r="V881" s="4"/>
      <c r="W881" s="4"/>
      <c r="X881" s="4"/>
    </row>
    <row r="882" spans="10:24" ht="12.75" x14ac:dyDescent="0.2">
      <c r="J882" s="4"/>
      <c r="K882" s="79"/>
      <c r="L882" s="4"/>
      <c r="M882" s="17"/>
      <c r="N882" s="4"/>
      <c r="O882" s="4"/>
      <c r="U882" s="4"/>
      <c r="V882" s="4"/>
      <c r="W882" s="4"/>
      <c r="X882" s="4"/>
    </row>
    <row r="883" spans="10:24" ht="12.75" x14ac:dyDescent="0.2">
      <c r="J883" s="4"/>
      <c r="K883" s="79"/>
      <c r="L883" s="4"/>
      <c r="M883" s="17"/>
      <c r="N883" s="4"/>
      <c r="O883" s="4"/>
      <c r="U883" s="4"/>
      <c r="V883" s="4"/>
      <c r="W883" s="4"/>
      <c r="X883" s="4"/>
    </row>
    <row r="884" spans="10:24" ht="12.75" x14ac:dyDescent="0.2">
      <c r="J884" s="4"/>
      <c r="K884" s="79"/>
      <c r="L884" s="4"/>
      <c r="M884" s="17"/>
      <c r="N884" s="4"/>
      <c r="O884" s="4"/>
      <c r="U884" s="4"/>
      <c r="V884" s="4"/>
      <c r="W884" s="4"/>
      <c r="X884" s="4"/>
    </row>
    <row r="885" spans="10:24" ht="12.75" x14ac:dyDescent="0.2">
      <c r="J885" s="4"/>
      <c r="K885" s="79"/>
      <c r="L885" s="4"/>
      <c r="M885" s="17"/>
      <c r="N885" s="4"/>
      <c r="O885" s="4"/>
      <c r="U885" s="4"/>
      <c r="V885" s="4"/>
      <c r="W885" s="4"/>
      <c r="X885" s="4"/>
    </row>
    <row r="886" spans="10:24" ht="12.75" x14ac:dyDescent="0.2">
      <c r="J886" s="4"/>
      <c r="K886" s="79"/>
      <c r="L886" s="4"/>
      <c r="M886" s="17"/>
      <c r="N886" s="4"/>
      <c r="O886" s="4"/>
      <c r="U886" s="4"/>
      <c r="V886" s="4"/>
      <c r="W886" s="4"/>
      <c r="X886" s="4"/>
    </row>
    <row r="887" spans="10:24" ht="12.75" x14ac:dyDescent="0.2">
      <c r="J887" s="4"/>
      <c r="K887" s="79"/>
      <c r="L887" s="4"/>
      <c r="M887" s="17"/>
      <c r="N887" s="4"/>
      <c r="O887" s="4"/>
      <c r="U887" s="4"/>
      <c r="V887" s="4"/>
      <c r="W887" s="4"/>
      <c r="X887" s="4"/>
    </row>
    <row r="888" spans="10:24" ht="12.75" x14ac:dyDescent="0.2">
      <c r="J888" s="4"/>
      <c r="K888" s="79"/>
      <c r="L888" s="4"/>
      <c r="M888" s="17"/>
      <c r="N888" s="4"/>
      <c r="O888" s="4"/>
      <c r="U888" s="4"/>
      <c r="V888" s="4"/>
      <c r="W888" s="4"/>
      <c r="X888" s="4"/>
    </row>
    <row r="889" spans="10:24" ht="12.75" x14ac:dyDescent="0.2">
      <c r="J889" s="4"/>
      <c r="K889" s="79"/>
      <c r="L889" s="4"/>
      <c r="M889" s="17"/>
      <c r="N889" s="4"/>
      <c r="O889" s="4"/>
      <c r="U889" s="4"/>
      <c r="V889" s="4"/>
      <c r="W889" s="4"/>
      <c r="X889" s="4"/>
    </row>
    <row r="890" spans="10:24" ht="12.75" x14ac:dyDescent="0.2">
      <c r="J890" s="4"/>
      <c r="K890" s="79"/>
      <c r="L890" s="4"/>
      <c r="M890" s="17"/>
      <c r="N890" s="4"/>
      <c r="O890" s="4"/>
      <c r="U890" s="4"/>
      <c r="V890" s="4"/>
      <c r="W890" s="4"/>
      <c r="X890" s="4"/>
    </row>
    <row r="891" spans="10:24" ht="12.75" x14ac:dyDescent="0.2">
      <c r="J891" s="4"/>
      <c r="K891" s="79"/>
      <c r="L891" s="4"/>
      <c r="M891" s="17"/>
      <c r="N891" s="4"/>
      <c r="O891" s="4"/>
      <c r="U891" s="4"/>
      <c r="V891" s="4"/>
      <c r="W891" s="4"/>
      <c r="X891" s="4"/>
    </row>
    <row r="892" spans="10:24" ht="12.75" x14ac:dyDescent="0.2">
      <c r="J892" s="4"/>
      <c r="K892" s="79"/>
      <c r="L892" s="4"/>
      <c r="M892" s="17"/>
      <c r="N892" s="4"/>
      <c r="O892" s="4"/>
      <c r="U892" s="4"/>
      <c r="V892" s="4"/>
      <c r="W892" s="4"/>
      <c r="X892" s="4"/>
    </row>
    <row r="893" spans="10:24" ht="12.75" x14ac:dyDescent="0.2">
      <c r="J893" s="4"/>
      <c r="K893" s="79"/>
      <c r="L893" s="4"/>
      <c r="M893" s="17"/>
      <c r="N893" s="4"/>
      <c r="O893" s="4"/>
      <c r="U893" s="4"/>
      <c r="V893" s="4"/>
      <c r="W893" s="4"/>
      <c r="X893" s="4"/>
    </row>
    <row r="894" spans="10:24" ht="12.75" x14ac:dyDescent="0.2">
      <c r="J894" s="4"/>
      <c r="K894" s="79"/>
      <c r="L894" s="4"/>
      <c r="M894" s="17"/>
      <c r="N894" s="4"/>
      <c r="O894" s="4"/>
      <c r="U894" s="4"/>
      <c r="V894" s="4"/>
      <c r="W894" s="4"/>
      <c r="X894" s="4"/>
    </row>
    <row r="895" spans="10:24" ht="12.75" x14ac:dyDescent="0.2">
      <c r="J895" s="4"/>
      <c r="K895" s="79"/>
      <c r="L895" s="4"/>
      <c r="M895" s="17"/>
      <c r="N895" s="4"/>
      <c r="O895" s="4"/>
      <c r="U895" s="4"/>
      <c r="V895" s="4"/>
      <c r="W895" s="4"/>
      <c r="X895" s="4"/>
    </row>
    <row r="896" spans="10:24" ht="12.75" x14ac:dyDescent="0.2">
      <c r="J896" s="4"/>
      <c r="K896" s="79"/>
      <c r="L896" s="4"/>
      <c r="M896" s="17"/>
      <c r="N896" s="4"/>
      <c r="O896" s="4"/>
      <c r="U896" s="4"/>
      <c r="V896" s="4"/>
      <c r="W896" s="4"/>
      <c r="X896" s="4"/>
    </row>
    <row r="897" spans="10:24" ht="12.75" x14ac:dyDescent="0.2">
      <c r="J897" s="4"/>
      <c r="K897" s="79"/>
      <c r="L897" s="4"/>
      <c r="M897" s="17"/>
      <c r="N897" s="4"/>
      <c r="O897" s="4"/>
      <c r="U897" s="4"/>
      <c r="V897" s="4"/>
      <c r="W897" s="4"/>
      <c r="X897" s="4"/>
    </row>
    <row r="898" spans="10:24" ht="12.75" x14ac:dyDescent="0.2">
      <c r="J898" s="4"/>
      <c r="K898" s="79"/>
      <c r="L898" s="4"/>
      <c r="M898" s="17"/>
      <c r="N898" s="4"/>
      <c r="O898" s="4"/>
      <c r="U898" s="4"/>
      <c r="V898" s="4"/>
      <c r="W898" s="4"/>
      <c r="X898" s="4"/>
    </row>
    <row r="899" spans="10:24" ht="12.75" x14ac:dyDescent="0.2">
      <c r="J899" s="4"/>
      <c r="K899" s="79"/>
      <c r="L899" s="4"/>
      <c r="M899" s="17"/>
      <c r="N899" s="4"/>
      <c r="O899" s="4"/>
      <c r="U899" s="4"/>
      <c r="V899" s="4"/>
      <c r="W899" s="4"/>
      <c r="X899" s="4"/>
    </row>
    <row r="900" spans="10:24" ht="12.75" x14ac:dyDescent="0.2">
      <c r="J900" s="4"/>
      <c r="K900" s="79"/>
      <c r="L900" s="4"/>
      <c r="M900" s="17"/>
      <c r="N900" s="4"/>
      <c r="O900" s="4"/>
      <c r="U900" s="4"/>
      <c r="V900" s="4"/>
      <c r="W900" s="4"/>
      <c r="X900" s="4"/>
    </row>
    <row r="901" spans="10:24" ht="12.75" x14ac:dyDescent="0.2">
      <c r="J901" s="4"/>
      <c r="K901" s="79"/>
      <c r="L901" s="4"/>
      <c r="M901" s="17"/>
      <c r="N901" s="4"/>
      <c r="O901" s="4"/>
      <c r="U901" s="4"/>
      <c r="V901" s="4"/>
      <c r="W901" s="4"/>
      <c r="X901" s="4"/>
    </row>
    <row r="902" spans="10:24" ht="12.75" x14ac:dyDescent="0.2">
      <c r="J902" s="4"/>
      <c r="K902" s="79"/>
      <c r="L902" s="4"/>
      <c r="M902" s="17"/>
      <c r="N902" s="4"/>
      <c r="O902" s="4"/>
      <c r="U902" s="4"/>
      <c r="V902" s="4"/>
      <c r="W902" s="4"/>
      <c r="X902" s="4"/>
    </row>
    <row r="903" spans="10:24" ht="12.75" x14ac:dyDescent="0.2">
      <c r="J903" s="4"/>
      <c r="K903" s="79"/>
      <c r="L903" s="4"/>
      <c r="M903" s="17"/>
      <c r="N903" s="4"/>
      <c r="O903" s="4"/>
      <c r="U903" s="4"/>
      <c r="V903" s="4"/>
      <c r="W903" s="4"/>
      <c r="X903" s="4"/>
    </row>
    <row r="904" spans="10:24" ht="12.75" x14ac:dyDescent="0.2">
      <c r="J904" s="4"/>
      <c r="K904" s="79"/>
      <c r="L904" s="4"/>
      <c r="M904" s="17"/>
      <c r="N904" s="4"/>
      <c r="O904" s="4"/>
      <c r="U904" s="4"/>
      <c r="V904" s="4"/>
      <c r="W904" s="4"/>
      <c r="X904" s="4"/>
    </row>
    <row r="905" spans="10:24" ht="12.75" x14ac:dyDescent="0.2">
      <c r="J905" s="4"/>
      <c r="K905" s="79"/>
      <c r="L905" s="4"/>
      <c r="M905" s="17"/>
      <c r="N905" s="4"/>
      <c r="O905" s="4"/>
      <c r="U905" s="4"/>
      <c r="V905" s="4"/>
      <c r="W905" s="4"/>
      <c r="X905" s="4"/>
    </row>
    <row r="906" spans="10:24" ht="12.75" x14ac:dyDescent="0.2">
      <c r="J906" s="4"/>
      <c r="K906" s="79"/>
      <c r="L906" s="4"/>
      <c r="M906" s="17"/>
      <c r="N906" s="4"/>
      <c r="O906" s="4"/>
      <c r="U906" s="4"/>
      <c r="V906" s="4"/>
      <c r="W906" s="4"/>
      <c r="X906" s="4"/>
    </row>
    <row r="907" spans="10:24" ht="12.75" x14ac:dyDescent="0.2">
      <c r="J907" s="4"/>
      <c r="K907" s="79"/>
      <c r="L907" s="4"/>
      <c r="M907" s="17"/>
      <c r="N907" s="4"/>
      <c r="O907" s="4"/>
      <c r="U907" s="4"/>
      <c r="V907" s="4"/>
      <c r="W907" s="4"/>
      <c r="X907" s="4"/>
    </row>
    <row r="908" spans="10:24" ht="12.75" x14ac:dyDescent="0.2">
      <c r="J908" s="4"/>
      <c r="K908" s="79"/>
      <c r="L908" s="4"/>
      <c r="M908" s="17"/>
      <c r="N908" s="4"/>
      <c r="O908" s="4"/>
      <c r="U908" s="4"/>
      <c r="V908" s="4"/>
      <c r="W908" s="4"/>
      <c r="X908" s="4"/>
    </row>
    <row r="909" spans="10:24" ht="12.75" x14ac:dyDescent="0.2">
      <c r="J909" s="4"/>
      <c r="K909" s="79"/>
      <c r="L909" s="4"/>
      <c r="M909" s="17"/>
      <c r="N909" s="4"/>
      <c r="O909" s="4"/>
      <c r="U909" s="4"/>
      <c r="V909" s="4"/>
      <c r="W909" s="4"/>
      <c r="X909" s="4"/>
    </row>
    <row r="910" spans="10:24" ht="12.75" x14ac:dyDescent="0.2">
      <c r="J910" s="4"/>
      <c r="K910" s="79"/>
      <c r="L910" s="4"/>
      <c r="M910" s="17"/>
      <c r="N910" s="4"/>
      <c r="O910" s="4"/>
      <c r="U910" s="4"/>
      <c r="V910" s="4"/>
      <c r="W910" s="4"/>
      <c r="X910" s="4"/>
    </row>
    <row r="911" spans="10:24" ht="12.75" x14ac:dyDescent="0.2">
      <c r="J911" s="4"/>
      <c r="K911" s="79"/>
      <c r="L911" s="4"/>
      <c r="M911" s="17"/>
      <c r="N911" s="4"/>
      <c r="O911" s="4"/>
      <c r="U911" s="4"/>
      <c r="V911" s="4"/>
      <c r="W911" s="4"/>
      <c r="X911" s="4"/>
    </row>
    <row r="912" spans="10:24" ht="12.75" x14ac:dyDescent="0.2">
      <c r="J912" s="4"/>
      <c r="K912" s="79"/>
      <c r="L912" s="4"/>
      <c r="M912" s="17"/>
      <c r="N912" s="4"/>
      <c r="O912" s="4"/>
      <c r="U912" s="4"/>
      <c r="V912" s="4"/>
      <c r="W912" s="4"/>
      <c r="X912" s="4"/>
    </row>
    <row r="913" spans="10:24" ht="12.75" x14ac:dyDescent="0.2">
      <c r="J913" s="4"/>
      <c r="K913" s="79"/>
      <c r="L913" s="4"/>
      <c r="M913" s="17"/>
      <c r="N913" s="4"/>
      <c r="O913" s="4"/>
      <c r="U913" s="4"/>
      <c r="V913" s="4"/>
      <c r="W913" s="4"/>
      <c r="X913" s="4"/>
    </row>
    <row r="914" spans="10:24" ht="12.75" x14ac:dyDescent="0.2">
      <c r="J914" s="4"/>
      <c r="K914" s="79"/>
      <c r="L914" s="4"/>
      <c r="M914" s="17"/>
      <c r="N914" s="4"/>
      <c r="O914" s="4"/>
      <c r="U914" s="4"/>
      <c r="V914" s="4"/>
      <c r="W914" s="4"/>
      <c r="X914" s="4"/>
    </row>
    <row r="915" spans="10:24" ht="12.75" x14ac:dyDescent="0.2">
      <c r="J915" s="4"/>
      <c r="K915" s="79"/>
      <c r="L915" s="4"/>
      <c r="M915" s="17"/>
      <c r="N915" s="4"/>
      <c r="O915" s="4"/>
      <c r="U915" s="4"/>
      <c r="V915" s="4"/>
      <c r="W915" s="4"/>
      <c r="X915" s="4"/>
    </row>
    <row r="916" spans="10:24" ht="12.75" x14ac:dyDescent="0.2">
      <c r="J916" s="4"/>
      <c r="K916" s="79"/>
      <c r="L916" s="4"/>
      <c r="M916" s="17"/>
      <c r="N916" s="4"/>
      <c r="O916" s="4"/>
      <c r="U916" s="4"/>
      <c r="V916" s="4"/>
      <c r="W916" s="4"/>
      <c r="X916" s="4"/>
    </row>
    <row r="917" spans="10:24" ht="12.75" x14ac:dyDescent="0.2">
      <c r="J917" s="4"/>
      <c r="K917" s="79"/>
      <c r="L917" s="4"/>
      <c r="M917" s="17"/>
      <c r="N917" s="4"/>
      <c r="O917" s="4"/>
      <c r="U917" s="4"/>
      <c r="V917" s="4"/>
      <c r="W917" s="4"/>
      <c r="X917" s="4"/>
    </row>
    <row r="918" spans="10:24" ht="12.75" x14ac:dyDescent="0.2">
      <c r="J918" s="4"/>
      <c r="K918" s="79"/>
      <c r="L918" s="4"/>
      <c r="M918" s="17"/>
      <c r="N918" s="4"/>
      <c r="O918" s="4"/>
      <c r="U918" s="4"/>
      <c r="V918" s="4"/>
      <c r="W918" s="4"/>
      <c r="X918" s="4"/>
    </row>
    <row r="919" spans="10:24" ht="12.75" x14ac:dyDescent="0.2">
      <c r="J919" s="4"/>
      <c r="K919" s="79"/>
      <c r="L919" s="4"/>
      <c r="M919" s="17"/>
      <c r="N919" s="4"/>
      <c r="O919" s="4"/>
      <c r="U919" s="4"/>
      <c r="V919" s="4"/>
      <c r="W919" s="4"/>
      <c r="X919" s="4"/>
    </row>
    <row r="920" spans="10:24" ht="12.75" x14ac:dyDescent="0.2">
      <c r="J920" s="4"/>
      <c r="K920" s="79"/>
      <c r="L920" s="4"/>
      <c r="M920" s="17"/>
      <c r="N920" s="4"/>
      <c r="O920" s="4"/>
      <c r="U920" s="4"/>
      <c r="V920" s="4"/>
      <c r="W920" s="4"/>
      <c r="X920" s="4"/>
    </row>
    <row r="921" spans="10:24" ht="12.75" x14ac:dyDescent="0.2">
      <c r="J921" s="4"/>
      <c r="K921" s="79"/>
      <c r="L921" s="4"/>
      <c r="M921" s="17"/>
      <c r="N921" s="4"/>
      <c r="O921" s="4"/>
      <c r="U921" s="4"/>
      <c r="V921" s="4"/>
      <c r="W921" s="4"/>
      <c r="X921" s="4"/>
    </row>
    <row r="922" spans="10:24" ht="12.75" x14ac:dyDescent="0.2">
      <c r="J922" s="4"/>
      <c r="K922" s="79"/>
      <c r="L922" s="4"/>
      <c r="M922" s="17"/>
      <c r="N922" s="4"/>
      <c r="O922" s="4"/>
      <c r="U922" s="4"/>
      <c r="V922" s="4"/>
      <c r="W922" s="4"/>
      <c r="X922" s="4"/>
    </row>
    <row r="923" spans="10:24" ht="12.75" x14ac:dyDescent="0.2">
      <c r="J923" s="4"/>
      <c r="K923" s="79"/>
      <c r="L923" s="4"/>
      <c r="M923" s="17"/>
      <c r="N923" s="4"/>
      <c r="O923" s="4"/>
      <c r="U923" s="4"/>
      <c r="V923" s="4"/>
      <c r="W923" s="4"/>
      <c r="X923" s="4"/>
    </row>
    <row r="924" spans="10:24" ht="12.75" x14ac:dyDescent="0.2">
      <c r="J924" s="4"/>
      <c r="K924" s="79"/>
      <c r="L924" s="4"/>
      <c r="M924" s="17"/>
      <c r="N924" s="4"/>
      <c r="O924" s="4"/>
      <c r="U924" s="4"/>
      <c r="V924" s="4"/>
      <c r="W924" s="4"/>
      <c r="X924" s="4"/>
    </row>
    <row r="925" spans="10:24" ht="12.75" x14ac:dyDescent="0.2">
      <c r="J925" s="4"/>
      <c r="K925" s="79"/>
      <c r="L925" s="4"/>
      <c r="M925" s="17"/>
      <c r="N925" s="4"/>
      <c r="O925" s="4"/>
      <c r="U925" s="4"/>
      <c r="V925" s="4"/>
      <c r="W925" s="4"/>
      <c r="X925" s="4"/>
    </row>
    <row r="926" spans="10:24" ht="12.75" x14ac:dyDescent="0.2">
      <c r="J926" s="4"/>
      <c r="K926" s="79"/>
      <c r="L926" s="4"/>
      <c r="M926" s="17"/>
      <c r="N926" s="4"/>
      <c r="O926" s="4"/>
      <c r="U926" s="4"/>
      <c r="V926" s="4"/>
      <c r="W926" s="4"/>
      <c r="X926" s="4"/>
    </row>
    <row r="927" spans="10:24" ht="12.75" x14ac:dyDescent="0.2">
      <c r="J927" s="4"/>
      <c r="K927" s="79"/>
      <c r="L927" s="4"/>
      <c r="M927" s="17"/>
      <c r="N927" s="4"/>
      <c r="O927" s="4"/>
      <c r="U927" s="4"/>
      <c r="V927" s="4"/>
      <c r="W927" s="4"/>
      <c r="X927" s="4"/>
    </row>
    <row r="928" spans="10:24" ht="12.75" x14ac:dyDescent="0.2">
      <c r="J928" s="4"/>
      <c r="K928" s="79"/>
      <c r="L928" s="4"/>
      <c r="M928" s="17"/>
      <c r="N928" s="4"/>
      <c r="O928" s="4"/>
      <c r="U928" s="4"/>
      <c r="V928" s="4"/>
      <c r="W928" s="4"/>
      <c r="X928" s="4"/>
    </row>
    <row r="929" spans="10:24" ht="12.75" x14ac:dyDescent="0.2">
      <c r="J929" s="4"/>
      <c r="K929" s="79"/>
      <c r="L929" s="4"/>
      <c r="M929" s="17"/>
      <c r="N929" s="4"/>
      <c r="O929" s="4"/>
      <c r="U929" s="4"/>
      <c r="V929" s="4"/>
      <c r="W929" s="4"/>
      <c r="X929" s="4"/>
    </row>
    <row r="930" spans="10:24" ht="12.75" x14ac:dyDescent="0.2">
      <c r="J930" s="4"/>
      <c r="K930" s="79"/>
      <c r="L930" s="4"/>
      <c r="M930" s="17"/>
      <c r="N930" s="4"/>
      <c r="O930" s="4"/>
      <c r="U930" s="4"/>
      <c r="V930" s="4"/>
      <c r="W930" s="4"/>
      <c r="X930" s="4"/>
    </row>
    <row r="931" spans="10:24" ht="12.75" x14ac:dyDescent="0.2">
      <c r="J931" s="4"/>
      <c r="K931" s="79"/>
      <c r="L931" s="4"/>
      <c r="M931" s="17"/>
      <c r="N931" s="4"/>
      <c r="O931" s="4"/>
      <c r="U931" s="4"/>
      <c r="V931" s="4"/>
      <c r="W931" s="4"/>
      <c r="X931" s="4"/>
    </row>
    <row r="932" spans="10:24" ht="12.75" x14ac:dyDescent="0.2">
      <c r="J932" s="4"/>
      <c r="K932" s="79"/>
      <c r="L932" s="4"/>
      <c r="M932" s="17"/>
      <c r="N932" s="4"/>
      <c r="O932" s="4"/>
      <c r="U932" s="4"/>
      <c r="V932" s="4"/>
      <c r="W932" s="4"/>
      <c r="X932" s="4"/>
    </row>
    <row r="933" spans="10:24" ht="12.75" x14ac:dyDescent="0.2">
      <c r="J933" s="4"/>
      <c r="K933" s="79"/>
      <c r="L933" s="4"/>
      <c r="M933" s="17"/>
      <c r="N933" s="4"/>
      <c r="O933" s="4"/>
      <c r="U933" s="4"/>
      <c r="V933" s="4"/>
      <c r="W933" s="4"/>
      <c r="X933" s="4"/>
    </row>
    <row r="934" spans="10:24" ht="12.75" x14ac:dyDescent="0.2">
      <c r="J934" s="4"/>
      <c r="K934" s="79"/>
      <c r="L934" s="4"/>
      <c r="M934" s="17"/>
      <c r="N934" s="4"/>
      <c r="O934" s="4"/>
      <c r="U934" s="4"/>
      <c r="V934" s="4"/>
      <c r="W934" s="4"/>
      <c r="X934" s="4"/>
    </row>
    <row r="935" spans="10:24" ht="12.75" x14ac:dyDescent="0.2">
      <c r="J935" s="4"/>
      <c r="K935" s="79"/>
      <c r="L935" s="4"/>
      <c r="M935" s="17"/>
      <c r="N935" s="4"/>
      <c r="O935" s="4"/>
      <c r="U935" s="4"/>
      <c r="V935" s="4"/>
      <c r="W935" s="4"/>
      <c r="X935" s="4"/>
    </row>
    <row r="936" spans="10:24" ht="12.75" x14ac:dyDescent="0.2">
      <c r="J936" s="4"/>
      <c r="K936" s="79"/>
      <c r="L936" s="4"/>
      <c r="M936" s="17"/>
      <c r="N936" s="4"/>
      <c r="O936" s="4"/>
      <c r="U936" s="4"/>
      <c r="V936" s="4"/>
      <c r="W936" s="4"/>
      <c r="X936" s="4"/>
    </row>
    <row r="937" spans="10:24" ht="12.75" x14ac:dyDescent="0.2">
      <c r="J937" s="4"/>
      <c r="K937" s="79"/>
      <c r="L937" s="4"/>
      <c r="M937" s="17"/>
      <c r="N937" s="4"/>
      <c r="O937" s="4"/>
      <c r="U937" s="4"/>
      <c r="V937" s="4"/>
      <c r="W937" s="4"/>
      <c r="X937" s="4"/>
    </row>
    <row r="938" spans="10:24" ht="12.75" x14ac:dyDescent="0.2">
      <c r="J938" s="4"/>
      <c r="K938" s="79"/>
      <c r="L938" s="4"/>
      <c r="M938" s="17"/>
      <c r="N938" s="4"/>
      <c r="O938" s="4"/>
      <c r="U938" s="4"/>
      <c r="V938" s="4"/>
      <c r="W938" s="4"/>
      <c r="X938" s="4"/>
    </row>
    <row r="939" spans="10:24" ht="12.75" x14ac:dyDescent="0.2">
      <c r="J939" s="4"/>
      <c r="K939" s="79"/>
      <c r="L939" s="4"/>
      <c r="M939" s="17"/>
      <c r="N939" s="4"/>
      <c r="O939" s="4"/>
      <c r="U939" s="4"/>
      <c r="V939" s="4"/>
      <c r="W939" s="4"/>
      <c r="X939" s="4"/>
    </row>
    <row r="940" spans="10:24" ht="12.75" x14ac:dyDescent="0.2">
      <c r="J940" s="4"/>
      <c r="K940" s="79"/>
      <c r="L940" s="4"/>
      <c r="M940" s="17"/>
      <c r="N940" s="4"/>
      <c r="O940" s="4"/>
      <c r="U940" s="4"/>
      <c r="V940" s="4"/>
      <c r="W940" s="4"/>
      <c r="X940" s="4"/>
    </row>
    <row r="941" spans="10:24" ht="12.75" x14ac:dyDescent="0.2">
      <c r="J941" s="4"/>
      <c r="K941" s="79"/>
      <c r="L941" s="4"/>
      <c r="M941" s="17"/>
      <c r="N941" s="4"/>
      <c r="O941" s="4"/>
      <c r="U941" s="4"/>
      <c r="V941" s="4"/>
      <c r="W941" s="4"/>
      <c r="X941" s="4"/>
    </row>
    <row r="942" spans="10:24" ht="12.75" x14ac:dyDescent="0.2">
      <c r="J942" s="4"/>
      <c r="K942" s="79"/>
      <c r="L942" s="4"/>
      <c r="M942" s="17"/>
      <c r="N942" s="4"/>
      <c r="O942" s="4"/>
      <c r="U942" s="4"/>
      <c r="V942" s="4"/>
      <c r="W942" s="4"/>
      <c r="X942" s="4"/>
    </row>
    <row r="943" spans="10:24" ht="12.75" x14ac:dyDescent="0.2">
      <c r="J943" s="4"/>
      <c r="K943" s="79"/>
      <c r="L943" s="4"/>
      <c r="M943" s="17"/>
      <c r="N943" s="4"/>
      <c r="O943" s="4"/>
      <c r="U943" s="4"/>
      <c r="V943" s="4"/>
      <c r="W943" s="4"/>
      <c r="X943" s="4"/>
    </row>
    <row r="944" spans="10:24" ht="12.75" x14ac:dyDescent="0.2">
      <c r="J944" s="4"/>
      <c r="K944" s="79"/>
      <c r="L944" s="4"/>
      <c r="M944" s="17"/>
      <c r="N944" s="4"/>
      <c r="O944" s="4"/>
      <c r="U944" s="4"/>
      <c r="V944" s="4"/>
      <c r="W944" s="4"/>
      <c r="X944" s="4"/>
    </row>
    <row r="945" spans="10:24" ht="12.75" x14ac:dyDescent="0.2">
      <c r="J945" s="4"/>
      <c r="K945" s="79"/>
      <c r="L945" s="4"/>
      <c r="M945" s="17"/>
      <c r="N945" s="4"/>
      <c r="O945" s="4"/>
      <c r="U945" s="4"/>
      <c r="V945" s="4"/>
      <c r="W945" s="4"/>
      <c r="X945" s="4"/>
    </row>
    <row r="946" spans="10:24" ht="12.75" x14ac:dyDescent="0.2">
      <c r="J946" s="4"/>
      <c r="K946" s="79"/>
      <c r="L946" s="4"/>
      <c r="M946" s="17"/>
      <c r="N946" s="4"/>
      <c r="O946" s="4"/>
      <c r="U946" s="4"/>
      <c r="V946" s="4"/>
      <c r="W946" s="4"/>
      <c r="X946" s="4"/>
    </row>
    <row r="947" spans="10:24" ht="12.75" x14ac:dyDescent="0.2">
      <c r="J947" s="4"/>
      <c r="K947" s="79"/>
      <c r="L947" s="4"/>
      <c r="M947" s="17"/>
      <c r="N947" s="4"/>
      <c r="O947" s="4"/>
      <c r="U947" s="4"/>
      <c r="V947" s="4"/>
      <c r="W947" s="4"/>
      <c r="X947" s="4"/>
    </row>
    <row r="948" spans="10:24" ht="12.75" x14ac:dyDescent="0.2">
      <c r="J948" s="4"/>
      <c r="K948" s="79"/>
      <c r="L948" s="4"/>
      <c r="M948" s="17"/>
      <c r="N948" s="4"/>
      <c r="O948" s="4"/>
      <c r="U948" s="4"/>
      <c r="V948" s="4"/>
      <c r="W948" s="4"/>
      <c r="X948" s="4"/>
    </row>
    <row r="949" spans="10:24" ht="12.75" x14ac:dyDescent="0.2">
      <c r="J949" s="4"/>
      <c r="K949" s="79"/>
      <c r="L949" s="4"/>
      <c r="M949" s="17"/>
      <c r="N949" s="4"/>
      <c r="O949" s="4"/>
      <c r="U949" s="4"/>
      <c r="V949" s="4"/>
      <c r="W949" s="4"/>
      <c r="X949" s="4"/>
    </row>
    <row r="950" spans="10:24" ht="12.75" x14ac:dyDescent="0.2">
      <c r="J950" s="4"/>
      <c r="K950" s="79"/>
      <c r="L950" s="4"/>
      <c r="M950" s="17"/>
      <c r="N950" s="4"/>
      <c r="O950" s="4"/>
      <c r="U950" s="4"/>
      <c r="V950" s="4"/>
      <c r="W950" s="4"/>
      <c r="X950" s="4"/>
    </row>
    <row r="951" spans="10:24" ht="12.75" x14ac:dyDescent="0.2">
      <c r="J951" s="4"/>
      <c r="K951" s="79"/>
      <c r="L951" s="4"/>
      <c r="M951" s="17"/>
      <c r="N951" s="4"/>
      <c r="O951" s="4"/>
      <c r="U951" s="4"/>
      <c r="V951" s="4"/>
      <c r="W951" s="4"/>
      <c r="X951" s="4"/>
    </row>
    <row r="952" spans="10:24" ht="12.75" x14ac:dyDescent="0.2">
      <c r="J952" s="4"/>
      <c r="K952" s="79"/>
      <c r="L952" s="4"/>
      <c r="M952" s="17"/>
      <c r="N952" s="4"/>
      <c r="O952" s="4"/>
      <c r="U952" s="4"/>
      <c r="V952" s="4"/>
      <c r="W952" s="4"/>
      <c r="X952" s="4"/>
    </row>
    <row r="953" spans="10:24" ht="12.75" x14ac:dyDescent="0.2">
      <c r="J953" s="4"/>
      <c r="K953" s="79"/>
      <c r="L953" s="4"/>
      <c r="M953" s="17"/>
      <c r="N953" s="4"/>
      <c r="O953" s="4"/>
      <c r="U953" s="4"/>
      <c r="V953" s="4"/>
      <c r="W953" s="4"/>
      <c r="X953" s="4"/>
    </row>
    <row r="954" spans="10:24" ht="12.75" x14ac:dyDescent="0.2">
      <c r="J954" s="4"/>
      <c r="K954" s="79"/>
      <c r="L954" s="4"/>
      <c r="M954" s="17"/>
      <c r="N954" s="4"/>
      <c r="O954" s="4"/>
      <c r="U954" s="4"/>
      <c r="V954" s="4"/>
      <c r="W954" s="4"/>
      <c r="X954" s="4"/>
    </row>
    <row r="955" spans="10:24" ht="12.75" x14ac:dyDescent="0.2">
      <c r="J955" s="4"/>
      <c r="K955" s="79"/>
      <c r="L955" s="4"/>
      <c r="M955" s="17"/>
      <c r="N955" s="4"/>
      <c r="O955" s="4"/>
      <c r="U955" s="4"/>
      <c r="V955" s="4"/>
      <c r="W955" s="4"/>
      <c r="X955" s="4"/>
    </row>
    <row r="956" spans="10:24" ht="12.75" x14ac:dyDescent="0.2">
      <c r="J956" s="4"/>
      <c r="K956" s="79"/>
      <c r="L956" s="4"/>
      <c r="M956" s="17"/>
      <c r="N956" s="4"/>
      <c r="O956" s="4"/>
      <c r="U956" s="4"/>
      <c r="V956" s="4"/>
      <c r="W956" s="4"/>
      <c r="X956" s="4"/>
    </row>
    <row r="957" spans="10:24" ht="12.75" x14ac:dyDescent="0.2">
      <c r="J957" s="4"/>
      <c r="K957" s="79"/>
      <c r="L957" s="4"/>
      <c r="M957" s="17"/>
      <c r="N957" s="4"/>
      <c r="O957" s="4"/>
      <c r="U957" s="4"/>
      <c r="V957" s="4"/>
      <c r="W957" s="4"/>
      <c r="X957" s="4"/>
    </row>
    <row r="958" spans="10:24" ht="12.75" x14ac:dyDescent="0.2">
      <c r="J958" s="4"/>
      <c r="K958" s="79"/>
      <c r="L958" s="4"/>
      <c r="M958" s="17"/>
      <c r="N958" s="4"/>
      <c r="O958" s="4"/>
      <c r="U958" s="4"/>
      <c r="V958" s="4"/>
      <c r="W958" s="4"/>
      <c r="X958" s="4"/>
    </row>
    <row r="959" spans="10:24" ht="12.75" x14ac:dyDescent="0.2">
      <c r="J959" s="4"/>
      <c r="K959" s="79"/>
      <c r="L959" s="4"/>
      <c r="M959" s="17"/>
      <c r="N959" s="4"/>
      <c r="O959" s="4"/>
      <c r="U959" s="4"/>
      <c r="V959" s="4"/>
      <c r="W959" s="4"/>
      <c r="X959" s="4"/>
    </row>
    <row r="960" spans="10:24" ht="12.75" x14ac:dyDescent="0.2">
      <c r="J960" s="4"/>
      <c r="K960" s="79"/>
      <c r="L960" s="4"/>
      <c r="M960" s="17"/>
      <c r="N960" s="4"/>
      <c r="O960" s="4"/>
      <c r="U960" s="4"/>
      <c r="V960" s="4"/>
      <c r="W960" s="4"/>
      <c r="X960" s="4"/>
    </row>
    <row r="961" spans="10:24" ht="12.75" x14ac:dyDescent="0.2">
      <c r="J961" s="4"/>
      <c r="K961" s="79"/>
      <c r="L961" s="4"/>
      <c r="M961" s="17"/>
      <c r="N961" s="4"/>
      <c r="O961" s="4"/>
      <c r="U961" s="4"/>
      <c r="V961" s="4"/>
      <c r="W961" s="4"/>
      <c r="X961" s="4"/>
    </row>
    <row r="962" spans="10:24" ht="12.75" x14ac:dyDescent="0.2">
      <c r="J962" s="4"/>
      <c r="K962" s="79"/>
      <c r="L962" s="4"/>
      <c r="M962" s="17"/>
      <c r="N962" s="4"/>
      <c r="O962" s="4"/>
      <c r="U962" s="4"/>
      <c r="V962" s="4"/>
      <c r="W962" s="4"/>
      <c r="X962" s="4"/>
    </row>
    <row r="963" spans="10:24" ht="12.75" x14ac:dyDescent="0.2">
      <c r="J963" s="4"/>
      <c r="K963" s="79"/>
      <c r="L963" s="4"/>
      <c r="M963" s="17"/>
      <c r="N963" s="4"/>
      <c r="O963" s="4"/>
      <c r="U963" s="4"/>
      <c r="V963" s="4"/>
      <c r="W963" s="4"/>
      <c r="X963" s="4"/>
    </row>
    <row r="964" spans="10:24" ht="12.75" x14ac:dyDescent="0.2">
      <c r="J964" s="4"/>
      <c r="K964" s="79"/>
      <c r="L964" s="4"/>
      <c r="M964" s="17"/>
      <c r="N964" s="4"/>
      <c r="O964" s="4"/>
      <c r="U964" s="4"/>
      <c r="V964" s="4"/>
      <c r="W964" s="4"/>
      <c r="X964" s="4"/>
    </row>
    <row r="965" spans="10:24" ht="12.75" x14ac:dyDescent="0.2">
      <c r="J965" s="4"/>
      <c r="K965" s="79"/>
      <c r="L965" s="4"/>
      <c r="M965" s="17"/>
      <c r="N965" s="4"/>
      <c r="O965" s="4"/>
      <c r="U965" s="4"/>
      <c r="V965" s="4"/>
      <c r="W965" s="4"/>
      <c r="X965" s="4"/>
    </row>
    <row r="966" spans="10:24" ht="12.75" x14ac:dyDescent="0.2">
      <c r="J966" s="4"/>
      <c r="K966" s="79"/>
      <c r="L966" s="4"/>
      <c r="M966" s="17"/>
      <c r="N966" s="4"/>
      <c r="O966" s="4"/>
      <c r="U966" s="4"/>
      <c r="V966" s="4"/>
      <c r="W966" s="4"/>
      <c r="X966" s="4"/>
    </row>
    <row r="967" spans="10:24" ht="12.75" x14ac:dyDescent="0.2">
      <c r="J967" s="4"/>
      <c r="K967" s="79"/>
      <c r="L967" s="4"/>
      <c r="M967" s="17"/>
      <c r="N967" s="4"/>
      <c r="O967" s="4"/>
      <c r="U967" s="4"/>
      <c r="V967" s="4"/>
      <c r="W967" s="4"/>
      <c r="X967" s="4"/>
    </row>
    <row r="968" spans="10:24" ht="12.75" x14ac:dyDescent="0.2">
      <c r="J968" s="4"/>
      <c r="K968" s="79"/>
      <c r="L968" s="4"/>
      <c r="M968" s="17"/>
      <c r="N968" s="4"/>
      <c r="O968" s="4"/>
      <c r="U968" s="4"/>
      <c r="V968" s="4"/>
      <c r="W968" s="4"/>
      <c r="X968" s="4"/>
    </row>
    <row r="969" spans="10:24" ht="12.75" x14ac:dyDescent="0.2">
      <c r="J969" s="4"/>
      <c r="K969" s="79"/>
      <c r="L969" s="4"/>
      <c r="M969" s="17"/>
      <c r="N969" s="4"/>
      <c r="O969" s="4"/>
      <c r="U969" s="4"/>
      <c r="V969" s="4"/>
      <c r="W969" s="4"/>
      <c r="X969" s="4"/>
    </row>
    <row r="970" spans="10:24" ht="12.75" x14ac:dyDescent="0.2">
      <c r="J970" s="4"/>
      <c r="K970" s="79"/>
      <c r="L970" s="4"/>
      <c r="M970" s="17"/>
      <c r="N970" s="4"/>
      <c r="O970" s="4"/>
      <c r="U970" s="4"/>
      <c r="V970" s="4"/>
      <c r="W970" s="4"/>
      <c r="X970" s="4"/>
    </row>
    <row r="971" spans="10:24" ht="12.75" x14ac:dyDescent="0.2">
      <c r="J971" s="4"/>
      <c r="K971" s="79"/>
      <c r="L971" s="4"/>
      <c r="M971" s="17"/>
      <c r="N971" s="4"/>
      <c r="O971" s="4"/>
      <c r="U971" s="4"/>
      <c r="V971" s="4"/>
      <c r="W971" s="4"/>
      <c r="X971" s="4"/>
    </row>
    <row r="972" spans="10:24" ht="12.75" x14ac:dyDescent="0.2">
      <c r="J972" s="4"/>
      <c r="K972" s="79"/>
      <c r="L972" s="4"/>
      <c r="M972" s="17"/>
      <c r="N972" s="4"/>
      <c r="O972" s="4"/>
      <c r="U972" s="4"/>
      <c r="V972" s="4"/>
      <c r="W972" s="4"/>
      <c r="X972" s="4"/>
    </row>
    <row r="973" spans="10:24" ht="12.75" x14ac:dyDescent="0.2">
      <c r="J973" s="4"/>
      <c r="K973" s="79"/>
      <c r="L973" s="4"/>
      <c r="M973" s="17"/>
      <c r="N973" s="4"/>
      <c r="O973" s="4"/>
      <c r="U973" s="4"/>
      <c r="V973" s="4"/>
      <c r="W973" s="4"/>
      <c r="X973" s="4"/>
    </row>
    <row r="974" spans="10:24" ht="12.75" x14ac:dyDescent="0.2">
      <c r="J974" s="4"/>
      <c r="K974" s="79"/>
      <c r="L974" s="4"/>
      <c r="M974" s="17"/>
      <c r="N974" s="4"/>
      <c r="O974" s="4"/>
      <c r="U974" s="4"/>
      <c r="V974" s="4"/>
      <c r="W974" s="4"/>
      <c r="X974" s="4"/>
    </row>
    <row r="975" spans="10:24" ht="12.75" x14ac:dyDescent="0.2">
      <c r="J975" s="4"/>
      <c r="K975" s="79"/>
      <c r="L975" s="4"/>
      <c r="M975" s="17"/>
      <c r="N975" s="4"/>
      <c r="O975" s="4"/>
      <c r="U975" s="4"/>
      <c r="V975" s="4"/>
      <c r="W975" s="4"/>
      <c r="X975" s="4"/>
    </row>
    <row r="976" spans="10:24" ht="12.75" x14ac:dyDescent="0.2">
      <c r="J976" s="4"/>
      <c r="K976" s="79"/>
      <c r="L976" s="4"/>
      <c r="M976" s="17"/>
      <c r="N976" s="4"/>
      <c r="O976" s="4"/>
      <c r="U976" s="4"/>
      <c r="V976" s="4"/>
      <c r="W976" s="4"/>
      <c r="X976" s="4"/>
    </row>
    <row r="977" spans="10:24" ht="12.75" x14ac:dyDescent="0.2">
      <c r="J977" s="4"/>
      <c r="K977" s="79"/>
      <c r="L977" s="4"/>
      <c r="M977" s="17"/>
      <c r="N977" s="4"/>
      <c r="O977" s="4"/>
      <c r="U977" s="4"/>
      <c r="V977" s="4"/>
      <c r="W977" s="4"/>
      <c r="X977" s="4"/>
    </row>
    <row r="978" spans="10:24" ht="12.75" x14ac:dyDescent="0.2">
      <c r="J978" s="4"/>
      <c r="K978" s="79"/>
      <c r="L978" s="4"/>
      <c r="M978" s="17"/>
      <c r="N978" s="4"/>
      <c r="O978" s="4"/>
      <c r="U978" s="4"/>
      <c r="V978" s="4"/>
      <c r="W978" s="4"/>
      <c r="X978" s="4"/>
    </row>
    <row r="979" spans="10:24" ht="12.75" x14ac:dyDescent="0.2">
      <c r="J979" s="4"/>
      <c r="K979" s="79"/>
      <c r="L979" s="4"/>
      <c r="M979" s="17"/>
      <c r="N979" s="4"/>
      <c r="O979" s="4"/>
      <c r="U979" s="4"/>
      <c r="V979" s="4"/>
      <c r="W979" s="4"/>
      <c r="X979" s="4"/>
    </row>
    <row r="980" spans="10:24" ht="12.75" x14ac:dyDescent="0.2">
      <c r="J980" s="4"/>
      <c r="K980" s="79"/>
      <c r="L980" s="4"/>
      <c r="M980" s="17"/>
      <c r="N980" s="4"/>
      <c r="O980" s="4"/>
      <c r="U980" s="4"/>
      <c r="V980" s="4"/>
      <c r="W980" s="4"/>
      <c r="X980" s="4"/>
    </row>
    <row r="981" spans="10:24" ht="12.75" x14ac:dyDescent="0.2">
      <c r="J981" s="4"/>
      <c r="K981" s="79"/>
      <c r="L981" s="4"/>
      <c r="M981" s="17"/>
      <c r="N981" s="4"/>
      <c r="O981" s="4"/>
      <c r="U981" s="4"/>
      <c r="V981" s="4"/>
      <c r="W981" s="4"/>
      <c r="X981" s="4"/>
    </row>
    <row r="982" spans="10:24" ht="12.75" x14ac:dyDescent="0.2">
      <c r="J982" s="4"/>
      <c r="K982" s="79"/>
      <c r="L982" s="4"/>
      <c r="M982" s="17"/>
      <c r="N982" s="4"/>
      <c r="O982" s="4"/>
      <c r="U982" s="4"/>
      <c r="V982" s="4"/>
      <c r="W982" s="4"/>
      <c r="X982" s="4"/>
    </row>
    <row r="983" spans="10:24" ht="12.75" x14ac:dyDescent="0.2">
      <c r="J983" s="4"/>
      <c r="K983" s="79"/>
      <c r="L983" s="4"/>
      <c r="M983" s="17"/>
      <c r="N983" s="4"/>
      <c r="O983" s="4"/>
      <c r="U983" s="4"/>
      <c r="V983" s="4"/>
      <c r="W983" s="4"/>
      <c r="X983" s="4"/>
    </row>
    <row r="984" spans="10:24" ht="12.75" x14ac:dyDescent="0.2">
      <c r="J984" s="4"/>
      <c r="K984" s="79"/>
      <c r="L984" s="4"/>
      <c r="M984" s="17"/>
      <c r="N984" s="4"/>
      <c r="O984" s="4"/>
      <c r="U984" s="4"/>
      <c r="V984" s="4"/>
      <c r="W984" s="4"/>
      <c r="X984" s="4"/>
    </row>
    <row r="985" spans="10:24" ht="12.75" x14ac:dyDescent="0.2">
      <c r="J985" s="4"/>
      <c r="K985" s="79"/>
      <c r="L985" s="4"/>
      <c r="M985" s="17"/>
      <c r="N985" s="4"/>
      <c r="O985" s="4"/>
      <c r="U985" s="4"/>
      <c r="V985" s="4"/>
      <c r="W985" s="4"/>
      <c r="X985" s="4"/>
    </row>
    <row r="986" spans="10:24" ht="12.75" x14ac:dyDescent="0.2">
      <c r="J986" s="4"/>
      <c r="K986" s="79"/>
      <c r="L986" s="4"/>
      <c r="M986" s="17"/>
      <c r="N986" s="4"/>
      <c r="O986" s="4"/>
      <c r="U986" s="4"/>
      <c r="V986" s="4"/>
      <c r="W986" s="4"/>
      <c r="X986" s="4"/>
    </row>
    <row r="987" spans="10:24" ht="12.75" x14ac:dyDescent="0.2">
      <c r="J987" s="4"/>
      <c r="K987" s="79"/>
      <c r="L987" s="4"/>
      <c r="M987" s="17"/>
      <c r="N987" s="4"/>
      <c r="O987" s="4"/>
      <c r="U987" s="4"/>
      <c r="V987" s="4"/>
      <c r="W987" s="4"/>
      <c r="X987" s="4"/>
    </row>
    <row r="988" spans="10:24" ht="12.75" x14ac:dyDescent="0.2">
      <c r="J988" s="4"/>
      <c r="K988" s="79"/>
      <c r="L988" s="4"/>
      <c r="M988" s="17"/>
      <c r="N988" s="4"/>
      <c r="O988" s="4"/>
      <c r="U988" s="4"/>
      <c r="V988" s="4"/>
      <c r="W988" s="4"/>
      <c r="X988" s="4"/>
    </row>
    <row r="989" spans="10:24" ht="12.75" x14ac:dyDescent="0.2">
      <c r="J989" s="4"/>
      <c r="K989" s="79"/>
      <c r="L989" s="4"/>
      <c r="M989" s="17"/>
      <c r="N989" s="4"/>
      <c r="O989" s="4"/>
      <c r="U989" s="4"/>
      <c r="V989" s="4"/>
      <c r="W989" s="4"/>
      <c r="X989" s="4"/>
    </row>
    <row r="990" spans="10:24" ht="12.75" x14ac:dyDescent="0.2">
      <c r="J990" s="4"/>
      <c r="K990" s="79"/>
      <c r="L990" s="4"/>
      <c r="M990" s="17"/>
      <c r="N990" s="4"/>
      <c r="O990" s="4"/>
      <c r="U990" s="4"/>
      <c r="V990" s="4"/>
      <c r="W990" s="4"/>
      <c r="X990" s="4"/>
    </row>
    <row r="991" spans="10:24" ht="12.75" x14ac:dyDescent="0.2">
      <c r="J991" s="4"/>
      <c r="K991" s="79"/>
      <c r="L991" s="4"/>
      <c r="M991" s="17"/>
      <c r="N991" s="4"/>
      <c r="O991" s="4"/>
      <c r="U991" s="4"/>
      <c r="V991" s="4"/>
      <c r="W991" s="4"/>
      <c r="X991" s="4"/>
    </row>
    <row r="992" spans="10:24" ht="12.75" x14ac:dyDescent="0.2">
      <c r="J992" s="4"/>
      <c r="K992" s="79"/>
      <c r="L992" s="4"/>
      <c r="M992" s="17"/>
      <c r="N992" s="4"/>
      <c r="O992" s="4"/>
      <c r="U992" s="4"/>
      <c r="V992" s="4"/>
      <c r="W992" s="4"/>
      <c r="X992" s="4"/>
    </row>
    <row r="993" spans="10:24" ht="12.75" x14ac:dyDescent="0.2">
      <c r="J993" s="4"/>
      <c r="K993" s="79"/>
      <c r="L993" s="4"/>
      <c r="M993" s="17"/>
      <c r="N993" s="4"/>
      <c r="O993" s="4"/>
      <c r="U993" s="4"/>
      <c r="V993" s="4"/>
      <c r="W993" s="4"/>
      <c r="X993" s="4"/>
    </row>
    <row r="994" spans="10:24" ht="12.75" x14ac:dyDescent="0.2">
      <c r="J994" s="4"/>
      <c r="K994" s="79"/>
      <c r="L994" s="4"/>
      <c r="M994" s="17"/>
      <c r="N994" s="4"/>
      <c r="O994" s="4"/>
      <c r="U994" s="4"/>
      <c r="V994" s="4"/>
      <c r="W994" s="4"/>
      <c r="X994" s="4"/>
    </row>
    <row r="995" spans="10:24" ht="12.75" x14ac:dyDescent="0.2">
      <c r="J995" s="4"/>
      <c r="K995" s="79"/>
      <c r="L995" s="4"/>
      <c r="M995" s="17"/>
      <c r="N995" s="4"/>
      <c r="O995" s="4"/>
      <c r="U995" s="4"/>
      <c r="V995" s="4"/>
      <c r="W995" s="4"/>
      <c r="X995" s="4"/>
    </row>
    <row r="996" spans="10:24" ht="12.75" x14ac:dyDescent="0.2">
      <c r="J996" s="4"/>
      <c r="K996" s="79"/>
      <c r="L996" s="4"/>
      <c r="M996" s="17"/>
      <c r="N996" s="4"/>
      <c r="O996" s="4"/>
      <c r="U996" s="4"/>
      <c r="V996" s="4"/>
      <c r="W996" s="4"/>
      <c r="X996" s="4"/>
    </row>
    <row r="997" spans="10:24" ht="12.75" x14ac:dyDescent="0.2">
      <c r="J997" s="4"/>
      <c r="K997" s="79"/>
      <c r="L997" s="4"/>
      <c r="M997" s="17"/>
      <c r="N997" s="4"/>
      <c r="O997" s="4"/>
      <c r="U997" s="4"/>
      <c r="V997" s="4"/>
      <c r="W997" s="4"/>
      <c r="X997" s="4"/>
    </row>
    <row r="998" spans="10:24" ht="12.75" x14ac:dyDescent="0.2">
      <c r="J998" s="4"/>
      <c r="K998" s="79"/>
      <c r="L998" s="4"/>
      <c r="M998" s="17"/>
      <c r="N998" s="4"/>
      <c r="O998" s="4"/>
      <c r="U998" s="4"/>
      <c r="V998" s="4"/>
      <c r="W998" s="4"/>
      <c r="X998" s="4"/>
    </row>
    <row r="999" spans="10:24" ht="12.75" x14ac:dyDescent="0.2">
      <c r="J999" s="4"/>
      <c r="K999" s="79"/>
      <c r="L999" s="4"/>
      <c r="M999" s="17"/>
      <c r="N999" s="4"/>
      <c r="O999" s="4"/>
      <c r="U999" s="4"/>
      <c r="V999" s="4"/>
      <c r="W999" s="4"/>
      <c r="X999" s="4"/>
    </row>
    <row r="1000" spans="10:24" ht="12.75" x14ac:dyDescent="0.2">
      <c r="J1000" s="4"/>
      <c r="K1000" s="79"/>
      <c r="L1000" s="4"/>
      <c r="M1000" s="17"/>
      <c r="N1000" s="4"/>
      <c r="O1000" s="4"/>
      <c r="U1000" s="4"/>
      <c r="V1000" s="4"/>
      <c r="W1000" s="4"/>
      <c r="X1000" s="4"/>
    </row>
    <row r="1001" spans="10:24" ht="12.75" x14ac:dyDescent="0.2">
      <c r="J1001" s="4"/>
      <c r="K1001" s="79"/>
      <c r="L1001" s="4"/>
      <c r="M1001" s="17"/>
      <c r="N1001" s="4"/>
      <c r="O1001" s="4"/>
      <c r="U1001" s="4"/>
      <c r="V1001" s="4"/>
      <c r="W1001" s="4"/>
      <c r="X1001" s="4"/>
    </row>
    <row r="1002" spans="10:24" ht="12.75" x14ac:dyDescent="0.2">
      <c r="J1002" s="4"/>
      <c r="K1002" s="79"/>
      <c r="L1002" s="4"/>
      <c r="M1002" s="17"/>
      <c r="N1002" s="4"/>
      <c r="O1002" s="4"/>
      <c r="U1002" s="4"/>
      <c r="V1002" s="4"/>
      <c r="W1002" s="4"/>
      <c r="X1002" s="4"/>
    </row>
    <row r="1003" spans="10:24" ht="12.75" x14ac:dyDescent="0.2">
      <c r="J1003" s="4"/>
      <c r="K1003" s="79"/>
      <c r="L1003" s="4"/>
      <c r="M1003" s="17"/>
      <c r="N1003" s="4"/>
      <c r="O1003" s="4"/>
      <c r="U1003" s="4"/>
      <c r="V1003" s="4"/>
      <c r="W1003" s="4"/>
      <c r="X1003" s="4"/>
    </row>
    <row r="1004" spans="10:24" ht="12.75" x14ac:dyDescent="0.2">
      <c r="J1004" s="4"/>
      <c r="K1004" s="79"/>
      <c r="L1004" s="4"/>
      <c r="M1004" s="17"/>
      <c r="N1004" s="4"/>
      <c r="O1004" s="4"/>
      <c r="U1004" s="4"/>
      <c r="V1004" s="4"/>
      <c r="W1004" s="4"/>
      <c r="X1004" s="4"/>
    </row>
    <row r="1005" spans="10:24" ht="12.75" x14ac:dyDescent="0.2">
      <c r="J1005" s="4"/>
      <c r="K1005" s="79"/>
      <c r="L1005" s="4"/>
      <c r="M1005" s="17"/>
      <c r="N1005" s="4"/>
      <c r="O1005" s="4"/>
      <c r="U1005" s="4"/>
      <c r="V1005" s="4"/>
      <c r="W1005" s="4"/>
      <c r="X1005" s="4"/>
    </row>
    <row r="1006" spans="10:24" ht="12.75" x14ac:dyDescent="0.2">
      <c r="J1006" s="4"/>
      <c r="K1006" s="79"/>
      <c r="L1006" s="4"/>
      <c r="M1006" s="17"/>
      <c r="N1006" s="4"/>
      <c r="O1006" s="4"/>
      <c r="U1006" s="4"/>
      <c r="V1006" s="4"/>
      <c r="W1006" s="4"/>
      <c r="X1006" s="4"/>
    </row>
    <row r="1007" spans="10:24" ht="12.75" x14ac:dyDescent="0.2">
      <c r="J1007" s="4"/>
      <c r="K1007" s="79"/>
      <c r="L1007" s="4"/>
      <c r="M1007" s="17"/>
      <c r="N1007" s="4"/>
      <c r="O1007" s="4"/>
      <c r="U1007" s="4"/>
      <c r="V1007" s="4"/>
      <c r="W1007" s="4"/>
      <c r="X1007" s="4"/>
    </row>
    <row r="1008" spans="10:24" ht="12.75" x14ac:dyDescent="0.2">
      <c r="J1008" s="4"/>
      <c r="K1008" s="79"/>
      <c r="L1008" s="4"/>
      <c r="M1008" s="17"/>
      <c r="N1008" s="4"/>
      <c r="O1008" s="4"/>
      <c r="U1008" s="4"/>
      <c r="V1008" s="4"/>
      <c r="W1008" s="4"/>
      <c r="X1008" s="4"/>
    </row>
    <row r="1009" spans="10:24" ht="12.75" x14ac:dyDescent="0.2">
      <c r="J1009" s="4"/>
      <c r="K1009" s="79"/>
      <c r="L1009" s="4"/>
      <c r="M1009" s="17"/>
      <c r="N1009" s="4"/>
      <c r="O1009" s="4"/>
      <c r="U1009" s="4"/>
      <c r="V1009" s="4"/>
      <c r="W1009" s="4"/>
      <c r="X1009" s="4"/>
    </row>
    <row r="1010" spans="10:24" ht="12.75" x14ac:dyDescent="0.2">
      <c r="J1010" s="4"/>
      <c r="K1010" s="79"/>
      <c r="L1010" s="4"/>
      <c r="M1010" s="17"/>
      <c r="N1010" s="4"/>
      <c r="O1010" s="4"/>
      <c r="U1010" s="4"/>
      <c r="V1010" s="4"/>
      <c r="W1010" s="4"/>
      <c r="X1010" s="4"/>
    </row>
    <row r="1011" spans="10:24" ht="12.75" x14ac:dyDescent="0.2">
      <c r="J1011" s="4"/>
      <c r="K1011" s="79"/>
      <c r="L1011" s="4"/>
      <c r="M1011" s="17"/>
      <c r="N1011" s="4"/>
      <c r="O1011" s="4"/>
      <c r="U1011" s="4"/>
      <c r="V1011" s="4"/>
      <c r="W1011" s="4"/>
      <c r="X1011" s="4"/>
    </row>
    <row r="1012" spans="10:24" ht="12.75" x14ac:dyDescent="0.2">
      <c r="J1012" s="4"/>
      <c r="K1012" s="79"/>
      <c r="L1012" s="4"/>
      <c r="M1012" s="17"/>
      <c r="N1012" s="4"/>
      <c r="O1012" s="4"/>
      <c r="U1012" s="4"/>
      <c r="V1012" s="4"/>
      <c r="W1012" s="4"/>
      <c r="X1012" s="4"/>
    </row>
    <row r="1013" spans="10:24" ht="12.75" x14ac:dyDescent="0.2">
      <c r="J1013" s="4"/>
      <c r="K1013" s="79"/>
      <c r="L1013" s="4"/>
      <c r="M1013" s="17"/>
      <c r="N1013" s="4"/>
      <c r="O1013" s="4"/>
      <c r="U1013" s="4"/>
      <c r="V1013" s="4"/>
      <c r="W1013" s="4"/>
      <c r="X1013" s="4"/>
    </row>
    <row r="1014" spans="10:24" ht="12.75" x14ac:dyDescent="0.2">
      <c r="J1014" s="4"/>
      <c r="K1014" s="79"/>
      <c r="L1014" s="4"/>
      <c r="M1014" s="17"/>
      <c r="N1014" s="4"/>
      <c r="O1014" s="4"/>
      <c r="U1014" s="4"/>
      <c r="V1014" s="4"/>
      <c r="W1014" s="4"/>
      <c r="X1014" s="4"/>
    </row>
    <row r="1015" spans="10:24" ht="12.75" x14ac:dyDescent="0.2">
      <c r="J1015" s="4"/>
      <c r="K1015" s="79"/>
      <c r="L1015" s="4"/>
      <c r="M1015" s="17"/>
      <c r="N1015" s="4"/>
      <c r="O1015" s="4"/>
      <c r="U1015" s="4"/>
      <c r="V1015" s="4"/>
      <c r="W1015" s="4"/>
      <c r="X1015" s="4"/>
    </row>
    <row r="1016" spans="10:24" ht="12.75" x14ac:dyDescent="0.2">
      <c r="J1016" s="4"/>
      <c r="K1016" s="79"/>
      <c r="L1016" s="4"/>
      <c r="M1016" s="17"/>
      <c r="N1016" s="4"/>
      <c r="O1016" s="4"/>
      <c r="U1016" s="4"/>
      <c r="V1016" s="4"/>
      <c r="W1016" s="4"/>
      <c r="X1016" s="4"/>
    </row>
    <row r="1017" spans="10:24" ht="12.75" x14ac:dyDescent="0.2">
      <c r="J1017" s="4"/>
      <c r="K1017" s="79"/>
      <c r="L1017" s="4"/>
      <c r="M1017" s="17"/>
      <c r="N1017" s="4"/>
      <c r="O1017" s="4"/>
      <c r="U1017" s="4"/>
      <c r="V1017" s="4"/>
      <c r="W1017" s="4"/>
      <c r="X1017" s="4"/>
    </row>
    <row r="1018" spans="10:24" ht="12.75" x14ac:dyDescent="0.2">
      <c r="J1018" s="4"/>
      <c r="K1018" s="79"/>
      <c r="L1018" s="4"/>
      <c r="M1018" s="17"/>
      <c r="N1018" s="4"/>
      <c r="O1018" s="4"/>
      <c r="U1018" s="4"/>
      <c r="V1018" s="4"/>
      <c r="W1018" s="4"/>
      <c r="X1018" s="4"/>
    </row>
    <row r="1019" spans="10:24" ht="12.75" x14ac:dyDescent="0.2">
      <c r="J1019" s="4"/>
      <c r="K1019" s="79"/>
      <c r="L1019" s="4"/>
      <c r="M1019" s="17"/>
      <c r="N1019" s="4"/>
      <c r="O1019" s="4"/>
      <c r="U1019" s="4"/>
      <c r="V1019" s="4"/>
      <c r="W1019" s="4"/>
      <c r="X1019" s="4"/>
    </row>
    <row r="1020" spans="10:24" ht="12.75" x14ac:dyDescent="0.2">
      <c r="J1020" s="4"/>
      <c r="K1020" s="79"/>
      <c r="L1020" s="4"/>
      <c r="M1020" s="17"/>
      <c r="N1020" s="4"/>
      <c r="O1020" s="4"/>
      <c r="U1020" s="4"/>
      <c r="V1020" s="4"/>
      <c r="W1020" s="4"/>
      <c r="X1020" s="4"/>
    </row>
    <row r="1021" spans="10:24" ht="12.75" x14ac:dyDescent="0.2">
      <c r="J1021" s="4"/>
      <c r="K1021" s="79"/>
      <c r="L1021" s="4"/>
      <c r="M1021" s="17"/>
      <c r="N1021" s="4"/>
      <c r="O1021" s="4"/>
      <c r="U1021" s="4"/>
      <c r="V1021" s="4"/>
      <c r="W1021" s="4"/>
      <c r="X1021" s="4"/>
    </row>
    <row r="1022" spans="10:24" ht="12.75" x14ac:dyDescent="0.2">
      <c r="J1022" s="4"/>
      <c r="K1022" s="79"/>
      <c r="L1022" s="4"/>
      <c r="M1022" s="17"/>
      <c r="N1022" s="4"/>
      <c r="O1022" s="4"/>
      <c r="U1022" s="4"/>
      <c r="V1022" s="4"/>
      <c r="W1022" s="4"/>
      <c r="X1022" s="4"/>
    </row>
    <row r="1023" spans="10:24" ht="12.75" x14ac:dyDescent="0.2">
      <c r="J1023" s="4"/>
      <c r="K1023" s="79"/>
      <c r="L1023" s="4"/>
      <c r="M1023" s="17"/>
      <c r="N1023" s="4"/>
      <c r="O1023" s="4"/>
      <c r="U1023" s="4"/>
      <c r="V1023" s="4"/>
      <c r="W1023" s="4"/>
      <c r="X1023" s="4"/>
    </row>
    <row r="1024" spans="10:24" ht="12.75" x14ac:dyDescent="0.2">
      <c r="J1024" s="4"/>
      <c r="K1024" s="79"/>
      <c r="L1024" s="4"/>
      <c r="M1024" s="17"/>
      <c r="N1024" s="4"/>
      <c r="O1024" s="4"/>
      <c r="U1024" s="4"/>
      <c r="V1024" s="4"/>
      <c r="W1024" s="4"/>
      <c r="X1024" s="4"/>
    </row>
    <row r="1025" spans="10:24" ht="12.75" x14ac:dyDescent="0.2">
      <c r="J1025" s="4"/>
      <c r="K1025" s="79"/>
      <c r="L1025" s="4"/>
      <c r="M1025" s="17"/>
      <c r="N1025" s="4"/>
      <c r="O1025" s="4"/>
      <c r="U1025" s="4"/>
      <c r="V1025" s="4"/>
      <c r="W1025" s="4"/>
      <c r="X1025" s="4"/>
    </row>
    <row r="1026" spans="10:24" ht="12.75" x14ac:dyDescent="0.2">
      <c r="J1026" s="4"/>
      <c r="K1026" s="79"/>
      <c r="L1026" s="4"/>
      <c r="M1026" s="17"/>
      <c r="N1026" s="4"/>
      <c r="O1026" s="4"/>
      <c r="U1026" s="4"/>
      <c r="V1026" s="4"/>
      <c r="W1026" s="4"/>
      <c r="X1026" s="4"/>
    </row>
    <row r="1027" spans="10:24" ht="12.75" x14ac:dyDescent="0.2">
      <c r="J1027" s="4"/>
      <c r="K1027" s="79"/>
      <c r="L1027" s="4"/>
      <c r="M1027" s="17"/>
      <c r="N1027" s="4"/>
      <c r="O1027" s="4"/>
      <c r="U1027" s="4"/>
      <c r="V1027" s="4"/>
      <c r="W1027" s="4"/>
      <c r="X1027" s="4"/>
    </row>
    <row r="1028" spans="10:24" ht="12.75" x14ac:dyDescent="0.2">
      <c r="J1028" s="4"/>
      <c r="K1028" s="79"/>
      <c r="L1028" s="4"/>
      <c r="M1028" s="17"/>
      <c r="N1028" s="4"/>
      <c r="O1028" s="4"/>
      <c r="U1028" s="4"/>
      <c r="V1028" s="4"/>
      <c r="W1028" s="4"/>
      <c r="X1028" s="4"/>
    </row>
    <row r="1029" spans="10:24" ht="12.75" x14ac:dyDescent="0.2">
      <c r="J1029" s="4"/>
      <c r="K1029" s="79"/>
      <c r="L1029" s="4"/>
      <c r="M1029" s="17"/>
      <c r="N1029" s="4"/>
      <c r="O1029" s="4"/>
      <c r="U1029" s="4"/>
      <c r="V1029" s="4"/>
      <c r="W1029" s="4"/>
      <c r="X1029" s="4"/>
    </row>
    <row r="1030" spans="10:24" ht="12.75" x14ac:dyDescent="0.2">
      <c r="J1030" s="4"/>
      <c r="K1030" s="79"/>
      <c r="L1030" s="4"/>
      <c r="M1030" s="17"/>
      <c r="N1030" s="4"/>
      <c r="O1030" s="4"/>
      <c r="U1030" s="4"/>
      <c r="V1030" s="4"/>
      <c r="W1030" s="4"/>
      <c r="X1030" s="4"/>
    </row>
    <row r="1031" spans="10:24" ht="12.75" x14ac:dyDescent="0.2">
      <c r="J1031" s="4"/>
      <c r="K1031" s="79"/>
      <c r="L1031" s="4"/>
      <c r="M1031" s="17"/>
      <c r="N1031" s="4"/>
      <c r="O1031" s="4"/>
      <c r="U1031" s="4"/>
      <c r="V1031" s="4"/>
      <c r="W1031" s="4"/>
      <c r="X1031" s="4"/>
    </row>
  </sheetData>
  <mergeCells count="16">
    <mergeCell ref="M38:N38"/>
    <mergeCell ref="P3:Y3"/>
    <mergeCell ref="B2:K2"/>
    <mergeCell ref="Z3:AB3"/>
    <mergeCell ref="M18:N18"/>
    <mergeCell ref="AI17:AI20"/>
    <mergeCell ref="AE18:AH19"/>
    <mergeCell ref="B1:K1"/>
    <mergeCell ref="M2:AC2"/>
    <mergeCell ref="M1:AC1"/>
    <mergeCell ref="AC6:AC11"/>
    <mergeCell ref="AC13:AC17"/>
    <mergeCell ref="B3:C3"/>
    <mergeCell ref="E3:J3"/>
    <mergeCell ref="M3:N3"/>
    <mergeCell ref="M12:N12"/>
  </mergeCells>
  <phoneticPr fontId="14" type="noConversion"/>
  <conditionalFormatting sqref="X6:X42">
    <cfRule type="containsText" dxfId="3" priority="1" operator="containsText" text="Bloqué">
      <formula>NOT(ISERROR(SEARCH("Bloqué",X6)))</formula>
    </cfRule>
    <cfRule type="containsText" dxfId="2" priority="2" operator="containsText" text="Terminé">
      <formula>NOT(ISERROR(SEARCH("Terminé",X6)))</formula>
    </cfRule>
    <cfRule type="containsText" dxfId="1" priority="3" operator="containsText" text="En cours">
      <formula>NOT(ISERROR(SEARCH("En cours",X6)))</formula>
    </cfRule>
    <cfRule type="containsText" dxfId="0" priority="4" operator="containsText" text="Pas commencé">
      <formula>NOT(ISERROR(SEARCH("Pas commencé",X6)))</formula>
    </cfRule>
  </conditionalFormatting>
  <dataValidations count="1">
    <dataValidation type="list" allowBlank="1" showInputMessage="1" showErrorMessage="1" sqref="X39:X42 X6:X10 X19:X36 X13:X16" xr:uid="{162937D5-A62D-7840-BA82-6C8F59C10CC2}">
      <formula1>$A$50:$A$53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6586-C6B9-7B45-AC18-A734952EF8AE}">
  <dimension ref="A1:I8"/>
  <sheetViews>
    <sheetView workbookViewId="0">
      <selection activeCell="A2" sqref="A2:E2"/>
    </sheetView>
  </sheetViews>
  <sheetFormatPr baseColWidth="10" defaultColWidth="10.85546875" defaultRowHeight="12.75" x14ac:dyDescent="0.2"/>
  <cols>
    <col min="1" max="1" width="6.140625" style="2" customWidth="1"/>
    <col min="2" max="2" width="21.42578125" style="2" customWidth="1"/>
    <col min="3" max="3" width="53.140625" style="2" customWidth="1"/>
    <col min="4" max="4" width="16.85546875" style="3" customWidth="1"/>
    <col min="5" max="5" width="18.7109375" style="2" customWidth="1"/>
    <col min="6" max="6" width="10.85546875" style="2"/>
    <col min="7" max="7" width="42.85546875" style="2" customWidth="1"/>
    <col min="8" max="16384" width="10.85546875" style="2"/>
  </cols>
  <sheetData>
    <row r="1" spans="1:9" x14ac:dyDescent="0.2">
      <c r="A1" s="206" t="s">
        <v>32</v>
      </c>
      <c r="B1" s="206"/>
      <c r="C1" s="206"/>
      <c r="D1" s="206"/>
      <c r="E1" s="206"/>
    </row>
    <row r="2" spans="1:9" x14ac:dyDescent="0.2">
      <c r="A2" s="206" t="s">
        <v>116</v>
      </c>
      <c r="B2" s="206"/>
      <c r="C2" s="206"/>
      <c r="D2" s="206"/>
      <c r="E2" s="206"/>
    </row>
    <row r="4" spans="1:9" x14ac:dyDescent="0.2">
      <c r="A4" s="19" t="s">
        <v>33</v>
      </c>
      <c r="B4" s="19" t="s">
        <v>35</v>
      </c>
      <c r="C4" s="19" t="s">
        <v>34</v>
      </c>
      <c r="D4" s="56" t="s">
        <v>36</v>
      </c>
      <c r="E4" s="56" t="s">
        <v>37</v>
      </c>
      <c r="F4" s="55" t="s">
        <v>38</v>
      </c>
      <c r="G4" s="19" t="s">
        <v>57</v>
      </c>
      <c r="I4" s="92" t="s">
        <v>63</v>
      </c>
    </row>
    <row r="5" spans="1:9" x14ac:dyDescent="0.2">
      <c r="I5" s="179" t="s">
        <v>68</v>
      </c>
    </row>
    <row r="6" spans="1:9" x14ac:dyDescent="0.2">
      <c r="I6" s="144" t="s">
        <v>69</v>
      </c>
    </row>
    <row r="7" spans="1:9" x14ac:dyDescent="0.2">
      <c r="I7" s="180" t="s">
        <v>53</v>
      </c>
    </row>
    <row r="8" spans="1:9" x14ac:dyDescent="0.2">
      <c r="I8" s="181" t="s">
        <v>70</v>
      </c>
    </row>
  </sheetData>
  <mergeCells count="2">
    <mergeCell ref="A1:E1"/>
    <mergeCell ref="A2:E2"/>
  </mergeCells>
  <dataValidations count="1">
    <dataValidation type="list" allowBlank="1" showInputMessage="1" showErrorMessage="1" sqref="F5:F10" xr:uid="{C043A21D-2363-C842-A689-AA01D423287B}">
      <formula1>$I$5:$I$8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98C3-3222-674C-A310-1DEBB104AF9B}">
  <dimension ref="A1:O8"/>
  <sheetViews>
    <sheetView workbookViewId="0">
      <selection activeCell="C22" sqref="C22"/>
    </sheetView>
  </sheetViews>
  <sheetFormatPr baseColWidth="10" defaultColWidth="10.85546875" defaultRowHeight="12.75" x14ac:dyDescent="0.2"/>
  <cols>
    <col min="1" max="1" width="6.140625" style="2" customWidth="1"/>
    <col min="2" max="2" width="21.42578125" style="2" customWidth="1"/>
    <col min="3" max="3" width="53.140625" style="2" customWidth="1"/>
    <col min="4" max="4" width="23.42578125" style="3" customWidth="1"/>
    <col min="5" max="5" width="16.42578125" style="3" customWidth="1"/>
    <col min="6" max="6" width="16.85546875" style="3" customWidth="1"/>
    <col min="7" max="7" width="18.7109375" style="3" customWidth="1"/>
    <col min="8" max="8" width="10.85546875" style="3"/>
    <col min="9" max="9" width="30" style="2" customWidth="1"/>
    <col min="10" max="10" width="32.140625" style="2" customWidth="1"/>
    <col min="11" max="12" width="10.85546875" style="2"/>
    <col min="13" max="13" width="13.85546875" style="2" bestFit="1" customWidth="1"/>
    <col min="14" max="14" width="5.140625" style="2" customWidth="1"/>
    <col min="15" max="15" width="13.42578125" style="2" bestFit="1" customWidth="1"/>
    <col min="16" max="16384" width="10.85546875" style="2"/>
  </cols>
  <sheetData>
    <row r="1" spans="1:15" x14ac:dyDescent="0.2">
      <c r="A1" s="206" t="s">
        <v>47</v>
      </c>
      <c r="B1" s="206"/>
      <c r="C1" s="206"/>
      <c r="D1" s="206"/>
      <c r="E1" s="206"/>
      <c r="F1" s="206"/>
      <c r="G1" s="206"/>
    </row>
    <row r="2" spans="1:15" x14ac:dyDescent="0.2">
      <c r="A2" s="206" t="s">
        <v>116</v>
      </c>
      <c r="B2" s="206"/>
      <c r="C2" s="206"/>
      <c r="D2" s="206"/>
      <c r="E2" s="206"/>
      <c r="F2" s="206"/>
      <c r="G2" s="206"/>
    </row>
    <row r="4" spans="1:15" x14ac:dyDescent="0.2">
      <c r="A4" s="19" t="s">
        <v>33</v>
      </c>
      <c r="B4" s="19" t="s">
        <v>35</v>
      </c>
      <c r="C4" s="19" t="s">
        <v>58</v>
      </c>
      <c r="D4" s="56" t="s">
        <v>59</v>
      </c>
      <c r="E4" s="56" t="s">
        <v>60</v>
      </c>
      <c r="F4" s="56" t="s">
        <v>36</v>
      </c>
      <c r="G4" s="56" t="s">
        <v>37</v>
      </c>
      <c r="H4" s="55" t="s">
        <v>38</v>
      </c>
      <c r="I4" s="19" t="s">
        <v>62</v>
      </c>
      <c r="J4" s="19" t="s">
        <v>61</v>
      </c>
      <c r="M4" s="92" t="s">
        <v>90</v>
      </c>
      <c r="O4" s="92" t="s">
        <v>89</v>
      </c>
    </row>
    <row r="5" spans="1:15" x14ac:dyDescent="0.2">
      <c r="I5" s="19"/>
      <c r="M5" s="182" t="s">
        <v>64</v>
      </c>
      <c r="O5" s="179" t="s">
        <v>68</v>
      </c>
    </row>
    <row r="6" spans="1:15" x14ac:dyDescent="0.2">
      <c r="I6" s="19"/>
      <c r="M6" s="183" t="s">
        <v>65</v>
      </c>
      <c r="O6" s="186" t="s">
        <v>69</v>
      </c>
    </row>
    <row r="7" spans="1:15" x14ac:dyDescent="0.2">
      <c r="I7" s="19"/>
      <c r="M7" s="184" t="s">
        <v>66</v>
      </c>
      <c r="O7" s="145" t="s">
        <v>91</v>
      </c>
    </row>
    <row r="8" spans="1:15" x14ac:dyDescent="0.2">
      <c r="I8" s="19"/>
      <c r="M8" s="185" t="s">
        <v>67</v>
      </c>
    </row>
  </sheetData>
  <mergeCells count="2">
    <mergeCell ref="A1:G1"/>
    <mergeCell ref="A2:G2"/>
  </mergeCells>
  <dataValidations count="2">
    <dataValidation type="list" allowBlank="1" showInputMessage="1" showErrorMessage="1" sqref="D5:E9" xr:uid="{367156AD-342F-6E46-B4E4-4AD20787F43F}">
      <formula1>$M$5:$M$8</formula1>
    </dataValidation>
    <dataValidation type="list" allowBlank="1" showInputMessage="1" showErrorMessage="1" sqref="H5:H9" xr:uid="{3ED46894-E68C-E94F-936A-E6E4DCD84804}">
      <formula1>$O$5:$O$7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Activités</vt:lpstr>
      <vt:lpstr>Obstacles</vt:lpstr>
      <vt:lpstr>Risques</vt:lpstr>
      <vt:lpstr>tarif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Niang, Aboubacar</cp:lastModifiedBy>
  <dcterms:created xsi:type="dcterms:W3CDTF">2021-01-30T20:56:24Z</dcterms:created>
  <dcterms:modified xsi:type="dcterms:W3CDTF">2026-06-15T22:00:04Z</dcterms:modified>
</cp:coreProperties>
</file>